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\"/>
    </mc:Choice>
  </mc:AlternateContent>
  <xr:revisionPtr revIDLastSave="0" documentId="8_{BFEA4F5B-4B1E-4700-8D24-56FBFB4613BB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Sheet1" sheetId="1" r:id="rId1"/>
    <sheet name="january" sheetId="2" r:id="rId2"/>
    <sheet name="february" sheetId="4" r:id="rId3"/>
    <sheet name="march" sheetId="5" r:id="rId4"/>
    <sheet name="april" sheetId="6" r:id="rId5"/>
    <sheet name="may" sheetId="7" r:id="rId6"/>
    <sheet name="june" sheetId="8" r:id="rId7"/>
    <sheet name="july" sheetId="9" r:id="rId8"/>
    <sheet name="august" sheetId="10" r:id="rId9"/>
    <sheet name="october" sheetId="12" r:id="rId10"/>
    <sheet name="september" sheetId="11" r:id="rId11"/>
    <sheet name="november" sheetId="13" r:id="rId12"/>
    <sheet name="december" sheetId="14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6" l="1"/>
  <c r="AW28" i="6"/>
  <c r="AV28" i="13"/>
  <c r="AW28" i="13"/>
  <c r="AX28" i="13"/>
  <c r="AY28" i="13"/>
  <c r="AZ28" i="13"/>
  <c r="BA28" i="13"/>
  <c r="BC28" i="13"/>
  <c r="BD28" i="13"/>
  <c r="BE28" i="13" s="1"/>
  <c r="K15" i="1" a="1"/>
  <c r="K15" i="1" s="1"/>
  <c r="K7" i="14"/>
  <c r="K6" i="14"/>
  <c r="M5" i="14"/>
  <c r="AZ12" i="14" s="1"/>
  <c r="H5" i="14"/>
  <c r="I4" i="14"/>
  <c r="K7" i="13"/>
  <c r="M5" i="13"/>
  <c r="AZ25" i="13" s="1"/>
  <c r="H5" i="13"/>
  <c r="I4" i="13"/>
  <c r="K7" i="12"/>
  <c r="M5" i="12"/>
  <c r="L7" i="12" s="1"/>
  <c r="H5" i="12"/>
  <c r="AZ14" i="12" s="1"/>
  <c r="I4" i="12"/>
  <c r="K7" i="11"/>
  <c r="K6" i="11" s="1"/>
  <c r="M5" i="11"/>
  <c r="AZ24" i="11" s="1"/>
  <c r="BC24" i="11" s="1"/>
  <c r="BD24" i="11" s="1"/>
  <c r="BE24" i="11" s="1"/>
  <c r="H5" i="11"/>
  <c r="I4" i="11"/>
  <c r="K7" i="10"/>
  <c r="L7" i="10" s="1"/>
  <c r="M5" i="10"/>
  <c r="AZ11" i="10" s="1"/>
  <c r="H5" i="10"/>
  <c r="AZ9" i="10" s="1"/>
  <c r="I4" i="10"/>
  <c r="K7" i="9"/>
  <c r="L7" i="9" s="1"/>
  <c r="K6" i="9"/>
  <c r="M5" i="9"/>
  <c r="AZ12" i="9" s="1"/>
  <c r="H5" i="9"/>
  <c r="I4" i="9"/>
  <c r="K7" i="8"/>
  <c r="K6" i="8" s="1"/>
  <c r="M5" i="8"/>
  <c r="AZ25" i="8" s="1"/>
  <c r="H5" i="8"/>
  <c r="AZ18" i="8" s="1"/>
  <c r="I4" i="8"/>
  <c r="K7" i="7"/>
  <c r="K6" i="7" s="1"/>
  <c r="M5" i="7"/>
  <c r="AZ16" i="7" s="1"/>
  <c r="H5" i="7"/>
  <c r="AZ21" i="7" s="1"/>
  <c r="I4" i="7"/>
  <c r="K7" i="6"/>
  <c r="M5" i="6"/>
  <c r="H5" i="6"/>
  <c r="I4" i="6"/>
  <c r="K7" i="5"/>
  <c r="M5" i="5"/>
  <c r="AZ12" i="5" s="1"/>
  <c r="H5" i="5"/>
  <c r="AZ24" i="5" s="1"/>
  <c r="I4" i="5"/>
  <c r="K7" i="4"/>
  <c r="M5" i="4"/>
  <c r="AZ25" i="4" s="1"/>
  <c r="H5" i="4"/>
  <c r="AZ27" i="4" s="1"/>
  <c r="I4" i="4"/>
  <c r="I4" i="2"/>
  <c r="M5" i="2"/>
  <c r="H5" i="2"/>
  <c r="K7" i="2"/>
  <c r="AZ25" i="12"/>
  <c r="BA25" i="12" s="1"/>
  <c r="AZ20" i="7"/>
  <c r="BC20" i="7"/>
  <c r="BD20" i="7" s="1"/>
  <c r="BE20" i="7" s="1"/>
  <c r="AZ13" i="7"/>
  <c r="BC13" i="7" s="1"/>
  <c r="BD13" i="7" s="1"/>
  <c r="BE13" i="7" s="1"/>
  <c r="AZ9" i="7"/>
  <c r="BC9" i="7" s="1"/>
  <c r="BD9" i="7" s="1"/>
  <c r="BE9" i="7" s="1"/>
  <c r="L7" i="5"/>
  <c r="L6" i="5"/>
  <c r="K6" i="4"/>
  <c r="AZ20" i="4"/>
  <c r="BA20" i="4" s="1"/>
  <c r="BC20" i="4"/>
  <c r="BD20" i="4" s="1"/>
  <c r="BE20" i="4" s="1"/>
  <c r="K6" i="5"/>
  <c r="AZ8" i="7"/>
  <c r="BC8" i="7"/>
  <c r="BD8" i="7" s="1"/>
  <c r="BE8" i="7" s="1"/>
  <c r="AZ24" i="10"/>
  <c r="BC24" i="10" s="1"/>
  <c r="BD24" i="10" s="1"/>
  <c r="BE24" i="10" s="1"/>
  <c r="AZ16" i="9"/>
  <c r="AZ9" i="8"/>
  <c r="BA9" i="8" s="1"/>
  <c r="BC9" i="8"/>
  <c r="BD9" i="8" s="1"/>
  <c r="BE9" i="8" s="1"/>
  <c r="AZ24" i="14"/>
  <c r="AZ21" i="14"/>
  <c r="AZ13" i="14"/>
  <c r="AZ19" i="14"/>
  <c r="AZ27" i="14"/>
  <c r="AZ14" i="14"/>
  <c r="BC14" i="14" s="1"/>
  <c r="BD14" i="14" s="1"/>
  <c r="BE14" i="14" s="1"/>
  <c r="AZ8" i="14"/>
  <c r="AZ26" i="14"/>
  <c r="BC26" i="14" s="1"/>
  <c r="BD26" i="14" s="1"/>
  <c r="BE26" i="14" s="1"/>
  <c r="AZ17" i="14"/>
  <c r="BC17" i="14" s="1"/>
  <c r="BD17" i="14" s="1"/>
  <c r="BE17" i="14" s="1"/>
  <c r="AZ11" i="14"/>
  <c r="AZ18" i="14"/>
  <c r="BC18" i="14" s="1"/>
  <c r="BD18" i="14" s="1"/>
  <c r="BE18" i="14" s="1"/>
  <c r="AZ20" i="14"/>
  <c r="L7" i="14"/>
  <c r="M7" i="14" s="1"/>
  <c r="AZ9" i="14"/>
  <c r="BC9" i="14" s="1"/>
  <c r="BD9" i="14" s="1"/>
  <c r="BE9" i="14" s="1"/>
  <c r="AZ22" i="14"/>
  <c r="BC25" i="12"/>
  <c r="BD25" i="12" s="1"/>
  <c r="BE25" i="12" s="1"/>
  <c r="K6" i="12"/>
  <c r="AZ21" i="12"/>
  <c r="BC21" i="12" s="1"/>
  <c r="BD21" i="12" s="1"/>
  <c r="BE21" i="12" s="1"/>
  <c r="AZ13" i="12"/>
  <c r="BA13" i="12" s="1"/>
  <c r="AZ12" i="12"/>
  <c r="BC12" i="12" s="1"/>
  <c r="BD12" i="12" s="1"/>
  <c r="BE12" i="12" s="1"/>
  <c r="AZ9" i="12"/>
  <c r="BA9" i="12" s="1"/>
  <c r="AZ19" i="12"/>
  <c r="BA19" i="12" s="1"/>
  <c r="AZ24" i="12"/>
  <c r="BC24" i="12" s="1"/>
  <c r="BD24" i="12" s="1"/>
  <c r="BE24" i="12" s="1"/>
  <c r="AZ19" i="10"/>
  <c r="BC19" i="10" s="1"/>
  <c r="BD19" i="10" s="1"/>
  <c r="BE19" i="10" s="1"/>
  <c r="K6" i="10"/>
  <c r="AZ23" i="10"/>
  <c r="BC23" i="10" s="1"/>
  <c r="BD23" i="10" s="1"/>
  <c r="BE23" i="10" s="1"/>
  <c r="AZ22" i="10"/>
  <c r="BA22" i="10" s="1"/>
  <c r="AZ14" i="10"/>
  <c r="BA14" i="10" s="1"/>
  <c r="AZ21" i="10"/>
  <c r="BA21" i="10" s="1"/>
  <c r="AZ10" i="10"/>
  <c r="BA10" i="10" s="1"/>
  <c r="AZ18" i="10"/>
  <c r="BA18" i="10" s="1"/>
  <c r="AZ8" i="10"/>
  <c r="BC8" i="10" s="1"/>
  <c r="BD8" i="10" s="1"/>
  <c r="BE8" i="10" s="1"/>
  <c r="AZ17" i="10"/>
  <c r="BC17" i="10" s="1"/>
  <c r="BD17" i="10" s="1"/>
  <c r="BE17" i="10" s="1"/>
  <c r="BC16" i="9"/>
  <c r="AZ23" i="9"/>
  <c r="AZ15" i="9"/>
  <c r="BC15" i="9" s="1"/>
  <c r="AZ21" i="9"/>
  <c r="AZ13" i="9"/>
  <c r="AZ25" i="9"/>
  <c r="AZ19" i="9"/>
  <c r="BC19" i="9" s="1"/>
  <c r="AZ26" i="9"/>
  <c r="BC26" i="9" s="1"/>
  <c r="AZ20" i="9"/>
  <c r="AZ27" i="9"/>
  <c r="AZ14" i="9"/>
  <c r="AZ22" i="9"/>
  <c r="AZ24" i="9"/>
  <c r="AZ18" i="9"/>
  <c r="AZ8" i="9"/>
  <c r="AZ11" i="9"/>
  <c r="BC11" i="9" s="1"/>
  <c r="AZ9" i="9"/>
  <c r="AZ10" i="9"/>
  <c r="AZ15" i="8"/>
  <c r="BC15" i="8" s="1"/>
  <c r="BD15" i="8" s="1"/>
  <c r="BE15" i="8" s="1"/>
  <c r="AZ22" i="8"/>
  <c r="BC22" i="8" s="1"/>
  <c r="BD22" i="8" s="1"/>
  <c r="BE22" i="8" s="1"/>
  <c r="AZ14" i="8"/>
  <c r="BC14" i="8" s="1"/>
  <c r="BD14" i="8" s="1"/>
  <c r="BE14" i="8" s="1"/>
  <c r="AZ27" i="8"/>
  <c r="BA27" i="8" s="1"/>
  <c r="AZ21" i="8"/>
  <c r="BC21" i="8" s="1"/>
  <c r="AZ10" i="8"/>
  <c r="BA10" i="8" s="1"/>
  <c r="AZ13" i="8"/>
  <c r="BC13" i="8" s="1"/>
  <c r="BC21" i="7"/>
  <c r="BD21" i="7" s="1"/>
  <c r="BE21" i="7" s="1"/>
  <c r="AZ19" i="7"/>
  <c r="AZ15" i="7"/>
  <c r="AZ22" i="7"/>
  <c r="BA22" i="7" s="1"/>
  <c r="AZ14" i="7"/>
  <c r="AZ12" i="7"/>
  <c r="AZ18" i="7"/>
  <c r="BA18" i="7" s="1"/>
  <c r="AZ27" i="7"/>
  <c r="BC27" i="7" s="1"/>
  <c r="BD27" i="7" s="1"/>
  <c r="BE27" i="7" s="1"/>
  <c r="AZ17" i="7"/>
  <c r="BC17" i="7" s="1"/>
  <c r="BD17" i="7" s="1"/>
  <c r="BE17" i="7" s="1"/>
  <c r="AZ26" i="7"/>
  <c r="AZ24" i="7"/>
  <c r="AZ22" i="6"/>
  <c r="AZ14" i="6"/>
  <c r="BC14" i="6" s="1"/>
  <c r="AZ27" i="5"/>
  <c r="BA27" i="5" s="1"/>
  <c r="AZ26" i="5"/>
  <c r="BC26" i="5" s="1"/>
  <c r="BD26" i="5" s="1"/>
  <c r="BE26" i="5" s="1"/>
  <c r="AZ16" i="5"/>
  <c r="BA16" i="5" s="1"/>
  <c r="AZ10" i="5"/>
  <c r="AZ20" i="5"/>
  <c r="AZ14" i="5"/>
  <c r="BC14" i="5" s="1"/>
  <c r="BD14" i="5" s="1"/>
  <c r="BE14" i="5" s="1"/>
  <c r="AZ18" i="5"/>
  <c r="BA18" i="5" s="1"/>
  <c r="AZ8" i="5"/>
  <c r="BC8" i="5" s="1"/>
  <c r="BD8" i="5" s="1"/>
  <c r="BE8" i="5" s="1"/>
  <c r="AZ9" i="5"/>
  <c r="BA9" i="5" s="1"/>
  <c r="AZ13" i="5"/>
  <c r="BA13" i="5" s="1"/>
  <c r="AZ17" i="5"/>
  <c r="BA17" i="5" s="1"/>
  <c r="AZ19" i="5"/>
  <c r="BC19" i="5" s="1"/>
  <c r="BD19" i="5" s="1"/>
  <c r="BE19" i="5" s="1"/>
  <c r="AZ21" i="5"/>
  <c r="BA21" i="5" s="1"/>
  <c r="AZ23" i="5"/>
  <c r="BC23" i="5" s="1"/>
  <c r="BD23" i="5" s="1"/>
  <c r="BE23" i="5" s="1"/>
  <c r="AZ15" i="5"/>
  <c r="BC15" i="5" s="1"/>
  <c r="BD15" i="5" s="1"/>
  <c r="BE15" i="5" s="1"/>
  <c r="AZ21" i="4"/>
  <c r="BC21" i="4" s="1"/>
  <c r="AZ16" i="4"/>
  <c r="BC16" i="4" s="1"/>
  <c r="BD16" i="4" s="1"/>
  <c r="BE16" i="4" s="1"/>
  <c r="AZ14" i="4"/>
  <c r="AZ23" i="4"/>
  <c r="BC23" i="4" s="1"/>
  <c r="BD23" i="4" s="1"/>
  <c r="BE23" i="4" s="1"/>
  <c r="AZ14" i="2"/>
  <c r="BC14" i="2"/>
  <c r="AZ15" i="2"/>
  <c r="BA15" i="2" s="1"/>
  <c r="AZ22" i="2"/>
  <c r="BC22" i="2" s="1"/>
  <c r="BD22" i="2" s="1"/>
  <c r="BE22" i="2" s="1"/>
  <c r="AZ20" i="2"/>
  <c r="BA20" i="2" s="1"/>
  <c r="AZ12" i="2"/>
  <c r="BA12" i="2" s="1"/>
  <c r="AZ27" i="2"/>
  <c r="AZ19" i="2"/>
  <c r="AZ11" i="2"/>
  <c r="AZ26" i="2"/>
  <c r="AZ18" i="2"/>
  <c r="BC18" i="2" s="1"/>
  <c r="BD18" i="2" s="1"/>
  <c r="BE18" i="2" s="1"/>
  <c r="AZ10" i="2"/>
  <c r="BA10" i="2" s="1"/>
  <c r="AZ25" i="2"/>
  <c r="BA25" i="2" s="1"/>
  <c r="AZ17" i="2"/>
  <c r="BC17" i="2" s="1"/>
  <c r="BD17" i="2" s="1"/>
  <c r="BE17" i="2" s="1"/>
  <c r="AZ9" i="2"/>
  <c r="AZ24" i="2"/>
  <c r="AZ16" i="2"/>
  <c r="AZ21" i="2"/>
  <c r="AZ13" i="2"/>
  <c r="BC13" i="2" s="1"/>
  <c r="BD13" i="2" s="1"/>
  <c r="BE13" i="2" s="1"/>
  <c r="AZ8" i="2"/>
  <c r="BA8" i="2" s="1"/>
  <c r="BC8" i="2"/>
  <c r="BD8" i="2" s="1"/>
  <c r="BE8" i="2" s="1"/>
  <c r="AZ23" i="2"/>
  <c r="BA23" i="2" s="1"/>
  <c r="L7" i="2"/>
  <c r="K6" i="2"/>
  <c r="M7" i="5"/>
  <c r="N7" i="5" s="1"/>
  <c r="M6" i="5"/>
  <c r="L6" i="14"/>
  <c r="BC27" i="14"/>
  <c r="BC24" i="14"/>
  <c r="BC22" i="14"/>
  <c r="BC8" i="14"/>
  <c r="BC20" i="14"/>
  <c r="BC19" i="14"/>
  <c r="BC21" i="14"/>
  <c r="BC13" i="14"/>
  <c r="BC11" i="14"/>
  <c r="BC14" i="10"/>
  <c r="BD14" i="10" s="1"/>
  <c r="BE14" i="10" s="1"/>
  <c r="BC22" i="10"/>
  <c r="BD22" i="10" s="1"/>
  <c r="BE22" i="10" s="1"/>
  <c r="BC10" i="9"/>
  <c r="BC8" i="9"/>
  <c r="BC22" i="9"/>
  <c r="BC13" i="9"/>
  <c r="BC18" i="9"/>
  <c r="BC24" i="9"/>
  <c r="BC25" i="9"/>
  <c r="BC12" i="9"/>
  <c r="BC10" i="8"/>
  <c r="BC15" i="7"/>
  <c r="BC14" i="7"/>
  <c r="BC24" i="7"/>
  <c r="BC26" i="7"/>
  <c r="BC22" i="7"/>
  <c r="BD22" i="7" s="1"/>
  <c r="BE22" i="7" s="1"/>
  <c r="BC19" i="7"/>
  <c r="BD19" i="7" s="1"/>
  <c r="BE19" i="7" s="1"/>
  <c r="BC17" i="5"/>
  <c r="BD17" i="5" s="1"/>
  <c r="BE17" i="5" s="1"/>
  <c r="BC20" i="5"/>
  <c r="BC13" i="5"/>
  <c r="BD13" i="5" s="1"/>
  <c r="BE13" i="5" s="1"/>
  <c r="BC10" i="5"/>
  <c r="BD10" i="5" s="1"/>
  <c r="BE10" i="5" s="1"/>
  <c r="BC16" i="5"/>
  <c r="BD16" i="5" s="1"/>
  <c r="BE16" i="5" s="1"/>
  <c r="BC18" i="5"/>
  <c r="BD18" i="5" s="1"/>
  <c r="BE18" i="5" s="1"/>
  <c r="BC27" i="5"/>
  <c r="BD27" i="5" s="1"/>
  <c r="BE27" i="5" s="1"/>
  <c r="BC14" i="4"/>
  <c r="BC24" i="2"/>
  <c r="BD24" i="2" s="1"/>
  <c r="BE24" i="2" s="1"/>
  <c r="BC19" i="2"/>
  <c r="BD19" i="2" s="1"/>
  <c r="BE19" i="2" s="1"/>
  <c r="BC9" i="2"/>
  <c r="BC27" i="2"/>
  <c r="BC20" i="2"/>
  <c r="BC10" i="2"/>
  <c r="BD10" i="2" s="1"/>
  <c r="BE10" i="2" s="1"/>
  <c r="BC21" i="2"/>
  <c r="BD21" i="2" s="1"/>
  <c r="BE21" i="2" s="1"/>
  <c r="BC26" i="2"/>
  <c r="BD26" i="2" s="1"/>
  <c r="BE26" i="2" s="1"/>
  <c r="BC16" i="2"/>
  <c r="BD16" i="2" s="1"/>
  <c r="BE16" i="2" s="1"/>
  <c r="BC11" i="2"/>
  <c r="BD11" i="2" s="1"/>
  <c r="BE11" i="2" s="1"/>
  <c r="L6" i="2"/>
  <c r="M7" i="2"/>
  <c r="M6" i="2" s="1"/>
  <c r="N7" i="2"/>
  <c r="N6" i="2" s="1"/>
  <c r="AW25" i="13"/>
  <c r="AV25" i="13"/>
  <c r="AX25" i="13"/>
  <c r="AY25" i="13"/>
  <c r="AW23" i="13"/>
  <c r="AY23" i="13"/>
  <c r="AV23" i="13"/>
  <c r="AX23" i="13"/>
  <c r="AW10" i="13"/>
  <c r="AV10" i="13"/>
  <c r="AY10" i="13"/>
  <c r="AX10" i="13"/>
  <c r="AW18" i="13"/>
  <c r="AY18" i="13"/>
  <c r="AX18" i="13"/>
  <c r="AV18" i="13"/>
  <c r="AY24" i="13"/>
  <c r="AX24" i="13"/>
  <c r="AW24" i="13"/>
  <c r="AV24" i="13"/>
  <c r="AW19" i="13"/>
  <c r="AV19" i="13"/>
  <c r="AX19" i="13"/>
  <c r="AY19" i="13"/>
  <c r="AY14" i="13"/>
  <c r="AV14" i="13"/>
  <c r="AX14" i="13"/>
  <c r="AW14" i="13"/>
  <c r="AV17" i="13"/>
  <c r="AX17" i="13"/>
  <c r="AW17" i="13"/>
  <c r="AY17" i="13"/>
  <c r="AV26" i="13"/>
  <c r="AX26" i="13"/>
  <c r="AY26" i="13"/>
  <c r="AW26" i="13"/>
  <c r="AV15" i="13"/>
  <c r="AX15" i="13"/>
  <c r="AW15" i="13"/>
  <c r="AY15" i="13"/>
  <c r="AW11" i="13"/>
  <c r="AV11" i="13"/>
  <c r="AX11" i="13"/>
  <c r="AY11" i="13"/>
  <c r="AX8" i="13"/>
  <c r="AV8" i="13"/>
  <c r="AY8" i="13"/>
  <c r="AW8" i="13"/>
  <c r="AX9" i="13"/>
  <c r="AW9" i="13"/>
  <c r="AY9" i="13"/>
  <c r="AV9" i="13"/>
  <c r="AW27" i="13"/>
  <c r="AV27" i="13"/>
  <c r="AY27" i="13"/>
  <c r="AX27" i="13"/>
  <c r="AY21" i="13"/>
  <c r="AX21" i="13"/>
  <c r="AV21" i="13"/>
  <c r="AW21" i="13"/>
  <c r="AX13" i="13"/>
  <c r="AV13" i="13"/>
  <c r="AW13" i="13"/>
  <c r="AY13" i="13"/>
  <c r="AX12" i="13"/>
  <c r="AV12" i="13"/>
  <c r="AW12" i="13"/>
  <c r="AY12" i="13"/>
  <c r="AX22" i="13"/>
  <c r="AY22" i="13"/>
  <c r="AV22" i="13"/>
  <c r="AW22" i="13"/>
  <c r="AY16" i="13"/>
  <c r="AW16" i="13"/>
  <c r="AX16" i="13"/>
  <c r="AV16" i="13"/>
  <c r="AV20" i="13"/>
  <c r="AX20" i="13"/>
  <c r="AW20" i="13"/>
  <c r="AY20" i="13"/>
  <c r="AX26" i="4"/>
  <c r="AV26" i="4"/>
  <c r="AW26" i="4"/>
  <c r="AY26" i="4"/>
  <c r="AV17" i="4"/>
  <c r="AY17" i="4"/>
  <c r="AW17" i="4"/>
  <c r="AX17" i="4"/>
  <c r="AW18" i="4"/>
  <c r="AY18" i="4"/>
  <c r="AX18" i="4"/>
  <c r="AV18" i="4"/>
  <c r="AV23" i="4"/>
  <c r="AX23" i="4"/>
  <c r="AW23" i="4"/>
  <c r="AY23" i="4"/>
  <c r="AV27" i="4"/>
  <c r="AW27" i="4"/>
  <c r="AX27" i="4"/>
  <c r="AY27" i="4"/>
  <c r="AV9" i="4"/>
  <c r="AW9" i="4"/>
  <c r="AX9" i="4"/>
  <c r="AY9" i="4"/>
  <c r="AY24" i="4"/>
  <c r="AV24" i="4"/>
  <c r="AX24" i="4"/>
  <c r="AW24" i="4"/>
  <c r="AV19" i="4"/>
  <c r="AX19" i="4"/>
  <c r="AW19" i="4"/>
  <c r="AY19" i="4"/>
  <c r="AW15" i="4"/>
  <c r="AY15" i="4"/>
  <c r="AV15" i="4"/>
  <c r="AX15" i="4"/>
  <c r="AW13" i="4"/>
  <c r="AY13" i="4"/>
  <c r="AV13" i="4"/>
  <c r="AX13" i="4"/>
  <c r="AW22" i="4"/>
  <c r="AX22" i="4"/>
  <c r="AV22" i="4"/>
  <c r="AY22" i="4"/>
  <c r="AY12" i="4"/>
  <c r="AV12" i="4"/>
  <c r="AX12" i="4"/>
  <c r="AW12" i="4"/>
  <c r="AY21" i="4"/>
  <c r="AW21" i="4"/>
  <c r="AV21" i="4"/>
  <c r="AX21" i="4"/>
  <c r="AW25" i="4"/>
  <c r="AX25" i="4"/>
  <c r="AY25" i="4"/>
  <c r="AV25" i="4"/>
  <c r="AW11" i="4"/>
  <c r="AY11" i="4"/>
  <c r="AV11" i="4"/>
  <c r="AX11" i="4"/>
  <c r="AW10" i="4"/>
  <c r="AV10" i="4"/>
  <c r="AY10" i="4"/>
  <c r="AX10" i="4"/>
  <c r="AX14" i="4"/>
  <c r="AW14" i="4"/>
  <c r="BA14" i="4" s="1"/>
  <c r="AY14" i="4"/>
  <c r="AV14" i="4"/>
  <c r="AV16" i="4"/>
  <c r="AY16" i="4"/>
  <c r="AX16" i="4"/>
  <c r="AW16" i="4"/>
  <c r="AY8" i="4"/>
  <c r="AX8" i="4"/>
  <c r="AW8" i="4"/>
  <c r="AV8" i="4"/>
  <c r="AX20" i="4"/>
  <c r="AY20" i="4"/>
  <c r="AW20" i="4"/>
  <c r="AV20" i="4"/>
  <c r="BA16" i="4"/>
  <c r="BA23" i="4"/>
  <c r="AX21" i="8"/>
  <c r="AV21" i="8"/>
  <c r="AY21" i="8"/>
  <c r="AW21" i="8"/>
  <c r="AX19" i="8"/>
  <c r="AY19" i="8"/>
  <c r="AV19" i="8"/>
  <c r="AW19" i="8"/>
  <c r="AW11" i="8"/>
  <c r="AX11" i="8"/>
  <c r="AV11" i="8"/>
  <c r="AY11" i="8"/>
  <c r="AY8" i="8"/>
  <c r="AV8" i="8"/>
  <c r="AW8" i="8"/>
  <c r="AX8" i="8"/>
  <c r="AY10" i="8"/>
  <c r="AW10" i="8"/>
  <c r="AX10" i="8"/>
  <c r="AV10" i="8"/>
  <c r="AX13" i="8"/>
  <c r="AW13" i="8"/>
  <c r="AV13" i="8"/>
  <c r="AY13" i="8"/>
  <c r="AX22" i="8"/>
  <c r="AY22" i="8"/>
  <c r="AV22" i="8"/>
  <c r="AW22" i="8"/>
  <c r="AW26" i="8"/>
  <c r="AV26" i="8"/>
  <c r="AY26" i="8"/>
  <c r="AX26" i="8"/>
  <c r="AW18" i="8"/>
  <c r="AY18" i="8"/>
  <c r="AX18" i="8"/>
  <c r="AV18" i="8"/>
  <c r="AY9" i="8"/>
  <c r="AW9" i="8"/>
  <c r="AX9" i="8"/>
  <c r="AV9" i="8"/>
  <c r="AY24" i="8"/>
  <c r="AW24" i="8"/>
  <c r="AV24" i="8"/>
  <c r="AX24" i="8"/>
  <c r="AV27" i="8"/>
  <c r="AX27" i="8"/>
  <c r="AY27" i="8"/>
  <c r="AW27" i="8"/>
  <c r="AX15" i="8"/>
  <c r="AW15" i="8"/>
  <c r="AY15" i="8"/>
  <c r="AV15" i="8"/>
  <c r="AV20" i="8"/>
  <c r="AX20" i="8"/>
  <c r="AW20" i="8"/>
  <c r="AY20" i="8"/>
  <c r="AW14" i="8"/>
  <c r="AX14" i="8"/>
  <c r="AY14" i="8"/>
  <c r="AV14" i="8"/>
  <c r="AX17" i="8"/>
  <c r="AV17" i="8"/>
  <c r="AY17" i="8"/>
  <c r="AW17" i="8"/>
  <c r="AV12" i="8"/>
  <c r="AW12" i="8"/>
  <c r="AX12" i="8"/>
  <c r="AY12" i="8"/>
  <c r="AY23" i="8"/>
  <c r="AX23" i="8"/>
  <c r="AV23" i="8"/>
  <c r="AW23" i="8"/>
  <c r="AW25" i="8"/>
  <c r="AV25" i="8"/>
  <c r="AX25" i="8"/>
  <c r="AY25" i="8"/>
  <c r="AW16" i="8"/>
  <c r="AX16" i="8"/>
  <c r="AV16" i="8"/>
  <c r="AY16" i="8"/>
  <c r="AW25" i="5"/>
  <c r="AV25" i="5"/>
  <c r="AY25" i="5"/>
  <c r="AX25" i="5"/>
  <c r="AY26" i="5"/>
  <c r="AW26" i="5"/>
  <c r="AX26" i="5"/>
  <c r="AV26" i="5"/>
  <c r="AW14" i="5"/>
  <c r="AX14" i="5"/>
  <c r="AV14" i="5"/>
  <c r="AY14" i="5"/>
  <c r="AV18" i="5"/>
  <c r="AY18" i="5"/>
  <c r="AX18" i="5"/>
  <c r="AW18" i="5"/>
  <c r="AX15" i="5"/>
  <c r="AY15" i="5"/>
  <c r="AW15" i="5"/>
  <c r="AV15" i="5"/>
  <c r="AW21" i="5"/>
  <c r="AX21" i="5"/>
  <c r="AV21" i="5"/>
  <c r="AY21" i="5"/>
  <c r="AV12" i="5"/>
  <c r="AX12" i="5"/>
  <c r="AW12" i="5"/>
  <c r="AY12" i="5"/>
  <c r="AV23" i="5"/>
  <c r="AY23" i="5"/>
  <c r="AX23" i="5"/>
  <c r="AW23" i="5"/>
  <c r="AX13" i="5"/>
  <c r="AV13" i="5"/>
  <c r="AY13" i="5"/>
  <c r="AW13" i="5"/>
  <c r="AW17" i="5"/>
  <c r="AX17" i="5"/>
  <c r="AY17" i="5"/>
  <c r="AV17" i="5"/>
  <c r="AX16" i="5"/>
  <c r="AV16" i="5"/>
  <c r="AW16" i="5"/>
  <c r="AY16" i="5"/>
  <c r="AX8" i="5"/>
  <c r="AV8" i="5"/>
  <c r="AY8" i="5"/>
  <c r="AW8" i="5"/>
  <c r="AX27" i="5"/>
  <c r="AW27" i="5"/>
  <c r="AV27" i="5"/>
  <c r="AY27" i="5"/>
  <c r="AY24" i="5"/>
  <c r="AW24" i="5"/>
  <c r="AV24" i="5"/>
  <c r="AX24" i="5"/>
  <c r="AX22" i="5"/>
  <c r="AY22" i="5"/>
  <c r="AW22" i="5"/>
  <c r="AV22" i="5"/>
  <c r="AW11" i="5"/>
  <c r="AV11" i="5"/>
  <c r="AY11" i="5"/>
  <c r="AX11" i="5"/>
  <c r="AY19" i="5"/>
  <c r="AV19" i="5"/>
  <c r="AX19" i="5"/>
  <c r="AW19" i="5"/>
  <c r="AV10" i="5"/>
  <c r="AW10" i="5"/>
  <c r="AY10" i="5"/>
  <c r="AX10" i="5"/>
  <c r="AW9" i="5"/>
  <c r="AY9" i="5"/>
  <c r="AX9" i="5"/>
  <c r="AV9" i="5"/>
  <c r="AY20" i="5"/>
  <c r="AX20" i="5"/>
  <c r="AW20" i="5"/>
  <c r="BA20" i="5" s="1"/>
  <c r="AV20" i="5"/>
  <c r="AV24" i="14"/>
  <c r="AY24" i="14"/>
  <c r="AX24" i="14"/>
  <c r="AW24" i="14"/>
  <c r="BA24" i="14" s="1"/>
  <c r="AY9" i="14"/>
  <c r="AX9" i="14"/>
  <c r="AW9" i="14"/>
  <c r="BA9" i="14" s="1"/>
  <c r="AV9" i="14"/>
  <c r="AV16" i="14"/>
  <c r="AX16" i="14"/>
  <c r="AW16" i="14"/>
  <c r="AY16" i="14"/>
  <c r="AY22" i="14"/>
  <c r="AW22" i="14"/>
  <c r="BA22" i="14" s="1"/>
  <c r="AX22" i="14"/>
  <c r="AV22" i="14"/>
  <c r="AW12" i="14"/>
  <c r="AV12" i="14"/>
  <c r="AX12" i="14"/>
  <c r="AY12" i="14"/>
  <c r="AY15" i="14"/>
  <c r="AV15" i="14"/>
  <c r="AX15" i="14"/>
  <c r="AW15" i="14"/>
  <c r="AV18" i="14"/>
  <c r="AX18" i="14"/>
  <c r="AW18" i="14"/>
  <c r="AY18" i="14"/>
  <c r="AY17" i="14"/>
  <c r="AV17" i="14"/>
  <c r="AW17" i="14"/>
  <c r="BA17" i="14" s="1"/>
  <c r="AX17" i="14"/>
  <c r="AW19" i="14"/>
  <c r="AX19" i="14"/>
  <c r="AV19" i="14"/>
  <c r="AY19" i="14"/>
  <c r="AX25" i="14"/>
  <c r="AY25" i="14"/>
  <c r="AW25" i="14"/>
  <c r="AV25" i="14"/>
  <c r="AX26" i="14"/>
  <c r="AY26" i="14"/>
  <c r="AV26" i="14"/>
  <c r="AW26" i="14"/>
  <c r="BA26" i="14" s="1"/>
  <c r="AX21" i="14"/>
  <c r="AW21" i="14"/>
  <c r="AY21" i="14"/>
  <c r="AV21" i="14"/>
  <c r="AX14" i="14"/>
  <c r="AW14" i="14"/>
  <c r="AV14" i="14"/>
  <c r="AY14" i="14"/>
  <c r="AW11" i="14"/>
  <c r="BA11" i="14" s="1"/>
  <c r="AY11" i="14"/>
  <c r="AV11" i="14"/>
  <c r="AX11" i="14"/>
  <c r="AW13" i="14"/>
  <c r="AY13" i="14"/>
  <c r="AV13" i="14"/>
  <c r="AX13" i="14"/>
  <c r="AW27" i="14"/>
  <c r="BA27" i="14" s="1"/>
  <c r="AV27" i="14"/>
  <c r="AX27" i="14"/>
  <c r="AY27" i="14"/>
  <c r="AY10" i="14"/>
  <c r="AV10" i="14"/>
  <c r="AX10" i="14"/>
  <c r="AW10" i="14"/>
  <c r="AY8" i="14"/>
  <c r="AW8" i="14"/>
  <c r="BA8" i="14" s="1"/>
  <c r="AX8" i="14"/>
  <c r="AV8" i="14"/>
  <c r="AX23" i="14"/>
  <c r="AV23" i="14"/>
  <c r="AW23" i="14"/>
  <c r="AY23" i="14"/>
  <c r="AY20" i="14"/>
  <c r="AV20" i="14"/>
  <c r="AW20" i="14"/>
  <c r="BD20" i="14" s="1"/>
  <c r="BE20" i="14" s="1"/>
  <c r="AX20" i="14"/>
  <c r="AX21" i="12"/>
  <c r="AW21" i="12"/>
  <c r="AY21" i="12"/>
  <c r="AV21" i="12"/>
  <c r="AW27" i="12"/>
  <c r="AY27" i="12"/>
  <c r="AX27" i="12"/>
  <c r="AV27" i="12"/>
  <c r="AY8" i="12"/>
  <c r="AV8" i="12"/>
  <c r="AX8" i="12"/>
  <c r="AW8" i="12"/>
  <c r="AV16" i="12"/>
  <c r="AY16" i="12"/>
  <c r="AX16" i="12"/>
  <c r="AW16" i="12"/>
  <c r="AX24" i="12"/>
  <c r="AY24" i="12"/>
  <c r="AW24" i="12"/>
  <c r="AV24" i="12"/>
  <c r="AY14" i="12"/>
  <c r="AX14" i="12"/>
  <c r="AV14" i="12"/>
  <c r="AW14" i="12"/>
  <c r="AV17" i="12"/>
  <c r="AW17" i="12"/>
  <c r="AY17" i="12"/>
  <c r="AX17" i="12"/>
  <c r="AW12" i="12"/>
  <c r="AY12" i="12"/>
  <c r="AV12" i="12"/>
  <c r="AX12" i="12"/>
  <c r="AW13" i="12"/>
  <c r="AY13" i="12"/>
  <c r="AV13" i="12"/>
  <c r="AX13" i="12"/>
  <c r="AW19" i="12"/>
  <c r="AV19" i="12"/>
  <c r="AY19" i="12"/>
  <c r="AX19" i="12"/>
  <c r="AY22" i="12"/>
  <c r="AV22" i="12"/>
  <c r="AX22" i="12"/>
  <c r="AW22" i="12"/>
  <c r="AX23" i="12"/>
  <c r="AW23" i="12"/>
  <c r="AY23" i="12"/>
  <c r="AV23" i="12"/>
  <c r="AY20" i="12"/>
  <c r="AV20" i="12"/>
  <c r="AW20" i="12"/>
  <c r="AX20" i="12"/>
  <c r="AW10" i="12"/>
  <c r="AV10" i="12"/>
  <c r="AY10" i="12"/>
  <c r="AX10" i="12"/>
  <c r="AY15" i="12"/>
  <c r="AV15" i="12"/>
  <c r="AX15" i="12"/>
  <c r="AW15" i="12"/>
  <c r="AV26" i="12"/>
  <c r="AY26" i="12"/>
  <c r="AX26" i="12"/>
  <c r="AW26" i="12"/>
  <c r="AY25" i="12"/>
  <c r="AW25" i="12"/>
  <c r="AV25" i="12"/>
  <c r="AX25" i="12"/>
  <c r="AX9" i="12"/>
  <c r="AW9" i="12"/>
  <c r="AV9" i="12"/>
  <c r="AY9" i="12"/>
  <c r="AW11" i="12"/>
  <c r="AY11" i="12"/>
  <c r="AX11" i="12"/>
  <c r="AV11" i="12"/>
  <c r="AY18" i="12"/>
  <c r="AX18" i="12"/>
  <c r="AW18" i="12"/>
  <c r="AV18" i="12"/>
  <c r="AW15" i="11"/>
  <c r="AY15" i="11"/>
  <c r="AX15" i="11"/>
  <c r="AV15" i="11"/>
  <c r="AV25" i="11"/>
  <c r="AW25" i="11"/>
  <c r="AX25" i="11"/>
  <c r="AY25" i="11"/>
  <c r="AV27" i="11"/>
  <c r="AX27" i="11"/>
  <c r="AW27" i="11"/>
  <c r="AY27" i="11"/>
  <c r="AW14" i="11"/>
  <c r="AX14" i="11"/>
  <c r="AV14" i="11"/>
  <c r="AY14" i="11"/>
  <c r="AW8" i="11"/>
  <c r="AV8" i="11"/>
  <c r="AY8" i="11"/>
  <c r="AX8" i="11"/>
  <c r="AX17" i="11"/>
  <c r="AW17" i="11"/>
  <c r="AV17" i="11"/>
  <c r="AY17" i="11"/>
  <c r="AY9" i="11"/>
  <c r="AV9" i="11"/>
  <c r="AX9" i="11"/>
  <c r="AW9" i="11"/>
  <c r="AX12" i="11"/>
  <c r="AW12" i="11"/>
  <c r="AV12" i="11"/>
  <c r="AY12" i="11"/>
  <c r="AY13" i="11"/>
  <c r="AV13" i="11"/>
  <c r="AW13" i="11"/>
  <c r="AX13" i="11"/>
  <c r="AV24" i="11"/>
  <c r="AX24" i="11"/>
  <c r="AY24" i="11"/>
  <c r="AW24" i="11"/>
  <c r="AX18" i="11"/>
  <c r="AV18" i="11"/>
  <c r="AW18" i="11"/>
  <c r="AY18" i="11"/>
  <c r="AV23" i="11"/>
  <c r="AX23" i="11"/>
  <c r="AW23" i="11"/>
  <c r="AY23" i="11"/>
  <c r="AV19" i="11"/>
  <c r="AY19" i="11"/>
  <c r="AX19" i="11"/>
  <c r="AW19" i="11"/>
  <c r="AW11" i="11"/>
  <c r="AV11" i="11"/>
  <c r="AX11" i="11"/>
  <c r="AY11" i="11"/>
  <c r="AX26" i="11"/>
  <c r="AW26" i="11"/>
  <c r="AV26" i="11"/>
  <c r="AY26" i="11"/>
  <c r="AY16" i="11"/>
  <c r="AV16" i="11"/>
  <c r="AW16" i="11"/>
  <c r="AX16" i="11"/>
  <c r="AW21" i="11"/>
  <c r="AV21" i="11"/>
  <c r="AX21" i="11"/>
  <c r="AY21" i="11"/>
  <c r="AY20" i="11"/>
  <c r="AW20" i="11"/>
  <c r="AX20" i="11"/>
  <c r="AV20" i="11"/>
  <c r="AX10" i="11"/>
  <c r="AV10" i="11"/>
  <c r="AW10" i="11"/>
  <c r="AY10" i="11"/>
  <c r="AV22" i="11"/>
  <c r="AW22" i="11"/>
  <c r="AY22" i="11"/>
  <c r="AX22" i="11"/>
  <c r="AX26" i="10"/>
  <c r="AY26" i="10"/>
  <c r="AW26" i="10"/>
  <c r="AV26" i="10"/>
  <c r="AX10" i="10"/>
  <c r="AV10" i="10"/>
  <c r="AY10" i="10"/>
  <c r="AW10" i="10"/>
  <c r="AW14" i="10"/>
  <c r="AY14" i="10"/>
  <c r="AV14" i="10"/>
  <c r="AX14" i="10"/>
  <c r="AY25" i="10"/>
  <c r="AX25" i="10"/>
  <c r="AV25" i="10"/>
  <c r="AW25" i="10"/>
  <c r="AW11" i="10"/>
  <c r="AV11" i="10"/>
  <c r="AX11" i="10"/>
  <c r="AY11" i="10"/>
  <c r="AV22" i="10"/>
  <c r="AY22" i="10"/>
  <c r="AX22" i="10"/>
  <c r="AW22" i="10"/>
  <c r="AY24" i="10"/>
  <c r="AW24" i="10"/>
  <c r="AV24" i="10"/>
  <c r="AX24" i="10"/>
  <c r="AW12" i="10"/>
  <c r="AX12" i="10"/>
  <c r="AV12" i="10"/>
  <c r="AY12" i="10"/>
  <c r="AW8" i="10"/>
  <c r="AY8" i="10"/>
  <c r="AX8" i="10"/>
  <c r="AV8" i="10"/>
  <c r="AX16" i="10"/>
  <c r="AW16" i="10"/>
  <c r="AY16" i="10"/>
  <c r="AV16" i="10"/>
  <c r="AX9" i="10"/>
  <c r="AW9" i="10"/>
  <c r="AV9" i="10"/>
  <c r="AY9" i="10"/>
  <c r="AY20" i="10"/>
  <c r="AW20" i="10"/>
  <c r="AV20" i="10"/>
  <c r="AX20" i="10"/>
  <c r="AY13" i="10"/>
  <c r="AX13" i="10"/>
  <c r="AV13" i="10"/>
  <c r="AW13" i="10"/>
  <c r="AX17" i="10"/>
  <c r="AY17" i="10"/>
  <c r="AV17" i="10"/>
  <c r="AW17" i="10"/>
  <c r="AX21" i="10"/>
  <c r="AV21" i="10"/>
  <c r="AW21" i="10"/>
  <c r="AY21" i="10"/>
  <c r="AY19" i="10"/>
  <c r="AX19" i="10"/>
  <c r="AW19" i="10"/>
  <c r="AV19" i="10"/>
  <c r="AY27" i="10"/>
  <c r="AV27" i="10"/>
  <c r="AW27" i="10"/>
  <c r="AX27" i="10"/>
  <c r="AW15" i="10"/>
  <c r="AX15" i="10"/>
  <c r="AY15" i="10"/>
  <c r="AV15" i="10"/>
  <c r="AY23" i="10"/>
  <c r="AV23" i="10"/>
  <c r="AX23" i="10"/>
  <c r="AW23" i="10"/>
  <c r="AW18" i="10"/>
  <c r="AX18" i="10"/>
  <c r="AY18" i="10"/>
  <c r="AV18" i="10"/>
  <c r="BA15" i="8"/>
  <c r="BD10" i="8"/>
  <c r="BE10" i="8" s="1"/>
  <c r="AX10" i="7"/>
  <c r="AV10" i="7"/>
  <c r="AY10" i="7"/>
  <c r="AW10" i="7"/>
  <c r="AW25" i="7"/>
  <c r="AX25" i="7"/>
  <c r="AV25" i="7"/>
  <c r="AY25" i="7"/>
  <c r="AY15" i="7"/>
  <c r="AX15" i="7"/>
  <c r="AV15" i="7"/>
  <c r="AW15" i="7"/>
  <c r="AX26" i="7"/>
  <c r="AW26" i="7"/>
  <c r="AV26" i="7"/>
  <c r="AY26" i="7"/>
  <c r="AX16" i="7"/>
  <c r="AY16" i="7"/>
  <c r="AV16" i="7"/>
  <c r="AW16" i="7"/>
  <c r="AX24" i="7"/>
  <c r="AV24" i="7"/>
  <c r="AY24" i="7"/>
  <c r="AW24" i="7"/>
  <c r="BD24" i="7" s="1"/>
  <c r="BE24" i="7" s="1"/>
  <c r="AV19" i="7"/>
  <c r="AX19" i="7"/>
  <c r="AY19" i="7"/>
  <c r="AW19" i="7"/>
  <c r="AV18" i="7"/>
  <c r="AW18" i="7"/>
  <c r="AX18" i="7"/>
  <c r="AY18" i="7"/>
  <c r="AY22" i="7"/>
  <c r="AV22" i="7"/>
  <c r="AW22" i="7"/>
  <c r="AX22" i="7"/>
  <c r="AW27" i="7"/>
  <c r="AY27" i="7"/>
  <c r="AV27" i="7"/>
  <c r="AX27" i="7"/>
  <c r="AV9" i="7"/>
  <c r="AX9" i="7"/>
  <c r="AW9" i="7"/>
  <c r="AY9" i="7"/>
  <c r="AY14" i="7"/>
  <c r="AX14" i="7"/>
  <c r="AW14" i="7"/>
  <c r="AV14" i="7"/>
  <c r="AV12" i="7"/>
  <c r="AY12" i="7"/>
  <c r="AX12" i="7"/>
  <c r="AW12" i="7"/>
  <c r="AY8" i="7"/>
  <c r="AX8" i="7"/>
  <c r="AW8" i="7"/>
  <c r="AV8" i="7"/>
  <c r="AY11" i="7"/>
  <c r="AX11" i="7"/>
  <c r="AW11" i="7"/>
  <c r="AV11" i="7"/>
  <c r="AV21" i="7"/>
  <c r="AY21" i="7"/>
  <c r="AW21" i="7"/>
  <c r="AX21" i="7"/>
  <c r="AV17" i="7"/>
  <c r="AW17" i="7"/>
  <c r="AX17" i="7"/>
  <c r="AY17" i="7"/>
  <c r="AX23" i="7"/>
  <c r="AV23" i="7"/>
  <c r="AW23" i="7"/>
  <c r="AY23" i="7"/>
  <c r="AY13" i="7"/>
  <c r="AX13" i="7"/>
  <c r="AW13" i="7"/>
  <c r="AV13" i="7"/>
  <c r="AY20" i="7"/>
  <c r="AW20" i="7"/>
  <c r="AX20" i="7"/>
  <c r="AV20" i="7"/>
  <c r="BA10" i="5"/>
  <c r="BA26" i="5"/>
  <c r="BA8" i="5"/>
  <c r="BA14" i="5"/>
  <c r="AW8" i="2"/>
  <c r="AV8" i="2"/>
  <c r="BD27" i="14"/>
  <c r="BE27" i="14"/>
  <c r="BA18" i="14"/>
  <c r="BA21" i="14"/>
  <c r="BD21" i="14"/>
  <c r="BE21" i="14" s="1"/>
  <c r="BA14" i="14"/>
  <c r="BA13" i="14"/>
  <c r="BD13" i="14"/>
  <c r="BE13" i="14" s="1"/>
  <c r="BA19" i="14"/>
  <c r="BD19" i="14"/>
  <c r="BE19" i="14"/>
  <c r="BA21" i="12"/>
  <c r="BA17" i="10"/>
  <c r="BA26" i="7"/>
  <c r="BD26" i="7"/>
  <c r="BE26" i="7"/>
  <c r="BA19" i="7"/>
  <c r="BA15" i="7"/>
  <c r="BD15" i="7"/>
  <c r="BE15" i="7"/>
  <c r="BA20" i="7"/>
  <c r="BA9" i="7"/>
  <c r="BA17" i="7"/>
  <c r="AW9" i="2"/>
  <c r="BA9" i="2" s="1"/>
  <c r="AV27" i="2"/>
  <c r="AW27" i="2"/>
  <c r="BD27" i="2" s="1"/>
  <c r="BE27" i="2" s="1"/>
  <c r="AX27" i="2"/>
  <c r="AY27" i="2"/>
  <c r="AV13" i="2"/>
  <c r="AX13" i="2"/>
  <c r="AY13" i="2"/>
  <c r="AW13" i="2"/>
  <c r="AW24" i="2"/>
  <c r="AX24" i="2"/>
  <c r="AV24" i="2"/>
  <c r="AY24" i="2"/>
  <c r="AV25" i="2"/>
  <c r="AX25" i="2"/>
  <c r="AW25" i="2"/>
  <c r="AY25" i="2"/>
  <c r="AV20" i="2"/>
  <c r="AX20" i="2"/>
  <c r="AW20" i="2"/>
  <c r="AY20" i="2"/>
  <c r="AW17" i="2"/>
  <c r="AY17" i="2"/>
  <c r="AX17" i="2"/>
  <c r="AV17" i="2"/>
  <c r="AX16" i="2"/>
  <c r="AY16" i="2"/>
  <c r="AV16" i="2"/>
  <c r="AW16" i="2"/>
  <c r="AY10" i="2"/>
  <c r="AW10" i="2"/>
  <c r="AX10" i="2"/>
  <c r="AV10" i="2"/>
  <c r="AX12" i="2"/>
  <c r="AY12" i="2"/>
  <c r="AV12" i="2"/>
  <c r="AW12" i="2"/>
  <c r="AX14" i="2"/>
  <c r="AW14" i="2"/>
  <c r="AV14" i="2"/>
  <c r="AY14" i="2"/>
  <c r="AY8" i="2"/>
  <c r="AX8" i="2"/>
  <c r="AV26" i="2"/>
  <c r="AW26" i="2"/>
  <c r="AY26" i="2"/>
  <c r="AX26" i="2"/>
  <c r="AY18" i="2"/>
  <c r="AX18" i="2"/>
  <c r="AV18" i="2"/>
  <c r="AW18" i="2"/>
  <c r="AW19" i="2"/>
  <c r="AY19" i="2"/>
  <c r="AX19" i="2"/>
  <c r="AV19" i="2"/>
  <c r="AY9" i="2"/>
  <c r="AX9" i="2"/>
  <c r="AV9" i="2"/>
  <c r="AY11" i="2"/>
  <c r="AV11" i="2"/>
  <c r="AW11" i="2"/>
  <c r="BA11" i="2" s="1"/>
  <c r="AX11" i="2"/>
  <c r="AV23" i="2"/>
  <c r="AW23" i="2"/>
  <c r="AX23" i="2"/>
  <c r="AY23" i="2"/>
  <c r="AX21" i="2"/>
  <c r="AY21" i="2"/>
  <c r="AV21" i="2"/>
  <c r="AW21" i="2"/>
  <c r="AV22" i="2"/>
  <c r="AW22" i="2"/>
  <c r="AY22" i="2"/>
  <c r="AX22" i="2"/>
  <c r="AV15" i="2"/>
  <c r="AY15" i="2"/>
  <c r="AW15" i="2"/>
  <c r="AX15" i="2"/>
  <c r="BA19" i="2"/>
  <c r="BA24" i="2"/>
  <c r="BA26" i="2"/>
  <c r="BA16" i="2"/>
  <c r="BA13" i="2"/>
  <c r="BA21" i="2"/>
  <c r="BD20" i="2"/>
  <c r="BE20" i="2"/>
  <c r="BA14" i="2"/>
  <c r="BD14" i="2"/>
  <c r="BE14" i="2" s="1"/>
  <c r="BA27" i="7" l="1"/>
  <c r="BA12" i="7"/>
  <c r="BC12" i="7"/>
  <c r="BD12" i="7" s="1"/>
  <c r="BE12" i="7" s="1"/>
  <c r="BA13" i="7"/>
  <c r="BA14" i="7"/>
  <c r="L7" i="7"/>
  <c r="BD14" i="7"/>
  <c r="BE14" i="7" s="1"/>
  <c r="BA24" i="7"/>
  <c r="BA21" i="7"/>
  <c r="BA8" i="7"/>
  <c r="BC18" i="7"/>
  <c r="BD18" i="7" s="1"/>
  <c r="BE18" i="7" s="1"/>
  <c r="BA16" i="7"/>
  <c r="BC16" i="7"/>
  <c r="BD16" i="7" s="1"/>
  <c r="BE16" i="7" s="1"/>
  <c r="AZ11" i="7"/>
  <c r="AZ23" i="7"/>
  <c r="AZ25" i="7"/>
  <c r="AZ10" i="7"/>
  <c r="BC18" i="8"/>
  <c r="BD18" i="8" s="1"/>
  <c r="BE18" i="8" s="1"/>
  <c r="BA18" i="8"/>
  <c r="BC25" i="8"/>
  <c r="BD25" i="8" s="1"/>
  <c r="BE25" i="8" s="1"/>
  <c r="BA25" i="8"/>
  <c r="BD13" i="8"/>
  <c r="BE13" i="8" s="1"/>
  <c r="BC27" i="8"/>
  <c r="BD27" i="8" s="1"/>
  <c r="BE27" i="8" s="1"/>
  <c r="AZ11" i="8"/>
  <c r="AZ26" i="8"/>
  <c r="BC26" i="8" s="1"/>
  <c r="BD26" i="8" s="1"/>
  <c r="BE26" i="8" s="1"/>
  <c r="AZ8" i="8"/>
  <c r="BA22" i="8"/>
  <c r="BA21" i="8"/>
  <c r="AZ17" i="8"/>
  <c r="AZ12" i="8"/>
  <c r="AZ24" i="8"/>
  <c r="BC24" i="8" s="1"/>
  <c r="BD24" i="8" s="1"/>
  <c r="BE24" i="8" s="1"/>
  <c r="AZ19" i="8"/>
  <c r="L7" i="8"/>
  <c r="AZ16" i="8"/>
  <c r="AZ20" i="8"/>
  <c r="AZ23" i="8"/>
  <c r="BA14" i="8"/>
  <c r="AZ13" i="6"/>
  <c r="AZ16" i="6"/>
  <c r="AZ15" i="6"/>
  <c r="AZ26" i="6"/>
  <c r="AZ11" i="6"/>
  <c r="AZ24" i="6"/>
  <c r="AZ8" i="6"/>
  <c r="AZ17" i="6"/>
  <c r="AZ23" i="6"/>
  <c r="AZ10" i="6"/>
  <c r="AZ18" i="6"/>
  <c r="AZ25" i="6"/>
  <c r="AZ20" i="6"/>
  <c r="AZ9" i="6"/>
  <c r="AZ27" i="6"/>
  <c r="AZ19" i="6"/>
  <c r="AZ12" i="6"/>
  <c r="BC22" i="6"/>
  <c r="AZ21" i="6"/>
  <c r="L7" i="6"/>
  <c r="K6" i="6"/>
  <c r="N6" i="5"/>
  <c r="O7" i="5"/>
  <c r="BA12" i="5"/>
  <c r="BC12" i="5"/>
  <c r="BD12" i="5" s="1"/>
  <c r="BE12" i="5" s="1"/>
  <c r="BA24" i="5"/>
  <c r="BC24" i="5"/>
  <c r="BD24" i="5" s="1"/>
  <c r="BE24" i="5" s="1"/>
  <c r="BC9" i="5"/>
  <c r="BD9" i="5" s="1"/>
  <c r="BE9" i="5" s="1"/>
  <c r="BA15" i="5"/>
  <c r="BA23" i="5"/>
  <c r="AZ25" i="5"/>
  <c r="AZ22" i="5"/>
  <c r="BD20" i="5"/>
  <c r="BE20" i="5" s="1"/>
  <c r="BC21" i="5"/>
  <c r="BD21" i="5" s="1"/>
  <c r="BE21" i="5" s="1"/>
  <c r="BA19" i="5"/>
  <c r="AZ11" i="5"/>
  <c r="BA27" i="4"/>
  <c r="BC27" i="4"/>
  <c r="BD27" i="4" s="1"/>
  <c r="BE27" i="4" s="1"/>
  <c r="BA25" i="4"/>
  <c r="BC25" i="4"/>
  <c r="BD25" i="4" s="1"/>
  <c r="BE25" i="4" s="1"/>
  <c r="BD21" i="4"/>
  <c r="BE21" i="4" s="1"/>
  <c r="BA15" i="4"/>
  <c r="AZ12" i="4"/>
  <c r="AZ19" i="4"/>
  <c r="AZ18" i="4"/>
  <c r="AZ11" i="4"/>
  <c r="AZ24" i="4"/>
  <c r="BC24" i="4" s="1"/>
  <c r="BD24" i="4" s="1"/>
  <c r="BE24" i="4" s="1"/>
  <c r="AZ8" i="4"/>
  <c r="BC8" i="4" s="1"/>
  <c r="BD8" i="4"/>
  <c r="BE8" i="4" s="1"/>
  <c r="BA26" i="4"/>
  <c r="AZ26" i="4"/>
  <c r="BC26" i="4" s="1"/>
  <c r="L7" i="4"/>
  <c r="AZ17" i="4"/>
  <c r="AZ9" i="4"/>
  <c r="BC9" i="4" s="1"/>
  <c r="BD9" i="4" s="1"/>
  <c r="BE9" i="4" s="1"/>
  <c r="AZ22" i="4"/>
  <c r="BC22" i="4" s="1"/>
  <c r="BD22" i="4" s="1"/>
  <c r="BE22" i="4" s="1"/>
  <c r="AZ13" i="4"/>
  <c r="BA24" i="4"/>
  <c r="AZ15" i="4"/>
  <c r="BC15" i="4" s="1"/>
  <c r="BD15" i="4" s="1"/>
  <c r="BE15" i="4" s="1"/>
  <c r="AZ10" i="4"/>
  <c r="BC10" i="4" s="1"/>
  <c r="BD10" i="4" s="1"/>
  <c r="BE10" i="4" s="1"/>
  <c r="BC25" i="2"/>
  <c r="BD25" i="2" s="1"/>
  <c r="BE25" i="2" s="1"/>
  <c r="BA27" i="2"/>
  <c r="BC23" i="2"/>
  <c r="BD23" i="2" s="1"/>
  <c r="BE23" i="2" s="1"/>
  <c r="BA18" i="2"/>
  <c r="O7" i="2"/>
  <c r="BC15" i="2"/>
  <c r="BD15" i="2" s="1"/>
  <c r="BE15" i="2" s="1"/>
  <c r="BC12" i="2"/>
  <c r="BD12" i="2" s="1"/>
  <c r="BE12" i="2" s="1"/>
  <c r="BA17" i="2"/>
  <c r="BA22" i="2"/>
  <c r="BD9" i="2"/>
  <c r="BE9" i="2" s="1"/>
  <c r="BA13" i="8"/>
  <c r="BD21" i="8"/>
  <c r="BE21" i="8" s="1"/>
  <c r="L6" i="9"/>
  <c r="M7" i="9"/>
  <c r="BC14" i="9"/>
  <c r="BC27" i="9"/>
  <c r="BC23" i="9"/>
  <c r="BC21" i="9"/>
  <c r="BC20" i="9"/>
  <c r="BC9" i="9"/>
  <c r="AZ17" i="9"/>
  <c r="M7" i="10"/>
  <c r="L6" i="10"/>
  <c r="BA11" i="10"/>
  <c r="BC11" i="10"/>
  <c r="BD11" i="10" s="1"/>
  <c r="BE11" i="10" s="1"/>
  <c r="BA9" i="10"/>
  <c r="BC9" i="10"/>
  <c r="BD9" i="10" s="1"/>
  <c r="BE9" i="10" s="1"/>
  <c r="BC21" i="10"/>
  <c r="BD21" i="10" s="1"/>
  <c r="BE21" i="10" s="1"/>
  <c r="BA8" i="10"/>
  <c r="BA19" i="10"/>
  <c r="BC18" i="10"/>
  <c r="BD18" i="10" s="1"/>
  <c r="BE18" i="10" s="1"/>
  <c r="AZ27" i="10"/>
  <c r="AZ16" i="10"/>
  <c r="AZ26" i="10"/>
  <c r="BC10" i="10"/>
  <c r="BD10" i="10" s="1"/>
  <c r="BE10" i="10" s="1"/>
  <c r="BA24" i="10"/>
  <c r="AZ25" i="10"/>
  <c r="AZ12" i="10"/>
  <c r="AZ20" i="10"/>
  <c r="BA23" i="10"/>
  <c r="AZ15" i="10"/>
  <c r="AZ13" i="10"/>
  <c r="BA14" i="12"/>
  <c r="BC14" i="12"/>
  <c r="BD14" i="12" s="1"/>
  <c r="BE14" i="12" s="1"/>
  <c r="M7" i="12"/>
  <c r="L6" i="12"/>
  <c r="BA12" i="12"/>
  <c r="BC13" i="12"/>
  <c r="BD13" i="12" s="1"/>
  <c r="BE13" i="12" s="1"/>
  <c r="BC9" i="12"/>
  <c r="BD9" i="12" s="1"/>
  <c r="BE9" i="12" s="1"/>
  <c r="AZ10" i="12"/>
  <c r="AZ22" i="12"/>
  <c r="BC19" i="12"/>
  <c r="BD19" i="12" s="1"/>
  <c r="BE19" i="12" s="1"/>
  <c r="AZ8" i="12"/>
  <c r="AZ17" i="12"/>
  <c r="AZ15" i="12"/>
  <c r="AZ26" i="12"/>
  <c r="BA24" i="12"/>
  <c r="AZ11" i="12"/>
  <c r="AZ27" i="12"/>
  <c r="AZ23" i="12"/>
  <c r="AZ20" i="12"/>
  <c r="AZ16" i="12"/>
  <c r="AZ18" i="12"/>
  <c r="BA24" i="11"/>
  <c r="AZ27" i="11"/>
  <c r="L7" i="11"/>
  <c r="AZ19" i="11"/>
  <c r="AZ21" i="11"/>
  <c r="AZ25" i="11"/>
  <c r="AZ11" i="11"/>
  <c r="AZ14" i="11"/>
  <c r="AZ16" i="11"/>
  <c r="AZ9" i="11"/>
  <c r="AZ22" i="11"/>
  <c r="AZ20" i="11"/>
  <c r="AZ15" i="11"/>
  <c r="AZ10" i="11"/>
  <c r="AZ8" i="11"/>
  <c r="AZ12" i="11"/>
  <c r="AZ13" i="11"/>
  <c r="AZ17" i="11"/>
  <c r="AZ18" i="11"/>
  <c r="AZ26" i="11"/>
  <c r="AZ23" i="11"/>
  <c r="BA25" i="13"/>
  <c r="BC25" i="13"/>
  <c r="BD25" i="13" s="1"/>
  <c r="BE25" i="13" s="1"/>
  <c r="L7" i="13"/>
  <c r="K6" i="13"/>
  <c r="AZ20" i="13"/>
  <c r="AZ26" i="13"/>
  <c r="AZ11" i="13"/>
  <c r="AZ9" i="13"/>
  <c r="AZ8" i="13"/>
  <c r="AZ18" i="13"/>
  <c r="AZ22" i="13"/>
  <c r="AZ23" i="13"/>
  <c r="AZ10" i="13"/>
  <c r="AZ14" i="13"/>
  <c r="AZ24" i="13"/>
  <c r="AZ15" i="13"/>
  <c r="AZ19" i="13"/>
  <c r="AZ21" i="13"/>
  <c r="AZ27" i="13"/>
  <c r="AZ12" i="13"/>
  <c r="AZ17" i="13"/>
  <c r="AZ16" i="13"/>
  <c r="AZ13" i="13"/>
  <c r="N7" i="14"/>
  <c r="M6" i="14"/>
  <c r="BA12" i="14"/>
  <c r="BC12" i="14"/>
  <c r="BD12" i="14" s="1"/>
  <c r="BE12" i="14" s="1"/>
  <c r="AZ10" i="14"/>
  <c r="BA20" i="14"/>
  <c r="BD11" i="14"/>
  <c r="BE11" i="14" s="1"/>
  <c r="AZ15" i="14"/>
  <c r="AZ23" i="14"/>
  <c r="BD24" i="14"/>
  <c r="BE24" i="14" s="1"/>
  <c r="BD8" i="14"/>
  <c r="BE8" i="14" s="1"/>
  <c r="BD22" i="14"/>
  <c r="BE22" i="14" s="1"/>
  <c r="AZ16" i="14"/>
  <c r="AZ25" i="14"/>
  <c r="BA21" i="4"/>
  <c r="BD26" i="4"/>
  <c r="BE26" i="4" s="1"/>
  <c r="BD14" i="4"/>
  <c r="BE14" i="4" s="1"/>
  <c r="BC11" i="7" l="1"/>
  <c r="BD11" i="7" s="1"/>
  <c r="BE11" i="7" s="1"/>
  <c r="BA11" i="7"/>
  <c r="M7" i="7"/>
  <c r="L6" i="7"/>
  <c r="BA10" i="7"/>
  <c r="BC10" i="7"/>
  <c r="BD10" i="7" s="1"/>
  <c r="BE10" i="7" s="1"/>
  <c r="BC25" i="7"/>
  <c r="BD25" i="7" s="1"/>
  <c r="BE25" i="7" s="1"/>
  <c r="BA25" i="7"/>
  <c r="BC23" i="7"/>
  <c r="BD23" i="7" s="1"/>
  <c r="BE23" i="7" s="1"/>
  <c r="BA23" i="7"/>
  <c r="BA23" i="8"/>
  <c r="BC23" i="8"/>
  <c r="BD23" i="8" s="1"/>
  <c r="BE23" i="8" s="1"/>
  <c r="BA16" i="8"/>
  <c r="BC16" i="8"/>
  <c r="BD16" i="8" s="1"/>
  <c r="BE16" i="8" s="1"/>
  <c r="M7" i="8"/>
  <c r="L6" i="8"/>
  <c r="BA19" i="8"/>
  <c r="BC19" i="8"/>
  <c r="BD19" i="8" s="1"/>
  <c r="BE19" i="8" s="1"/>
  <c r="BC11" i="8"/>
  <c r="BD11" i="8" s="1"/>
  <c r="BE11" i="8" s="1"/>
  <c r="BA11" i="8"/>
  <c r="BA12" i="8"/>
  <c r="BC12" i="8"/>
  <c r="BD12" i="8" s="1"/>
  <c r="BE12" i="8" s="1"/>
  <c r="BC20" i="8"/>
  <c r="BD20" i="8" s="1"/>
  <c r="BE20" i="8" s="1"/>
  <c r="BA20" i="8"/>
  <c r="BC8" i="8"/>
  <c r="BD8" i="8" s="1"/>
  <c r="BE8" i="8" s="1"/>
  <c r="BA8" i="8"/>
  <c r="BA24" i="8"/>
  <c r="BA26" i="8"/>
  <c r="BC17" i="8"/>
  <c r="BD17" i="8" s="1"/>
  <c r="BE17" i="8" s="1"/>
  <c r="BA17" i="8"/>
  <c r="BC27" i="6"/>
  <c r="BC8" i="6"/>
  <c r="BC9" i="6"/>
  <c r="BC24" i="6"/>
  <c r="L6" i="6"/>
  <c r="M7" i="6"/>
  <c r="BC20" i="6"/>
  <c r="BC11" i="6"/>
  <c r="BC21" i="6"/>
  <c r="BC25" i="6"/>
  <c r="BC26" i="6"/>
  <c r="BC18" i="6"/>
  <c r="BC15" i="6"/>
  <c r="BC10" i="6"/>
  <c r="BC16" i="6"/>
  <c r="BC12" i="6"/>
  <c r="BC23" i="6"/>
  <c r="BC13" i="6"/>
  <c r="BC19" i="6"/>
  <c r="BC17" i="6"/>
  <c r="BC22" i="5"/>
  <c r="BD22" i="5" s="1"/>
  <c r="BE22" i="5" s="1"/>
  <c r="BA22" i="5"/>
  <c r="O6" i="5"/>
  <c r="P7" i="5"/>
  <c r="BC25" i="5"/>
  <c r="BD25" i="5" s="1"/>
  <c r="BE25" i="5" s="1"/>
  <c r="BA25" i="5"/>
  <c r="BC11" i="5"/>
  <c r="BD11" i="5" s="1"/>
  <c r="BE11" i="5" s="1"/>
  <c r="BA11" i="5"/>
  <c r="BA22" i="4"/>
  <c r="BA18" i="4"/>
  <c r="BC18" i="4"/>
  <c r="BD18" i="4" s="1"/>
  <c r="BE18" i="4" s="1"/>
  <c r="BA9" i="4"/>
  <c r="BA8" i="4"/>
  <c r="BA19" i="4"/>
  <c r="BC19" i="4"/>
  <c r="BD19" i="4" s="1"/>
  <c r="BE19" i="4" s="1"/>
  <c r="BA17" i="4"/>
  <c r="BC17" i="4"/>
  <c r="BD17" i="4" s="1"/>
  <c r="BE17" i="4" s="1"/>
  <c r="L6" i="4"/>
  <c r="M7" i="4"/>
  <c r="BC11" i="4"/>
  <c r="BD11" i="4" s="1"/>
  <c r="BE11" i="4" s="1"/>
  <c r="BA11" i="4"/>
  <c r="BA13" i="4"/>
  <c r="BC13" i="4"/>
  <c r="BD13" i="4" s="1"/>
  <c r="BE13" i="4" s="1"/>
  <c r="BA10" i="4"/>
  <c r="BC12" i="4"/>
  <c r="BD12" i="4" s="1"/>
  <c r="BE12" i="4" s="1"/>
  <c r="BA12" i="4"/>
  <c r="O6" i="2"/>
  <c r="P7" i="2"/>
  <c r="BC17" i="9"/>
  <c r="M6" i="9"/>
  <c r="N7" i="9"/>
  <c r="BC25" i="10"/>
  <c r="BD25" i="10" s="1"/>
  <c r="BE25" i="10" s="1"/>
  <c r="BA25" i="10"/>
  <c r="BA13" i="10"/>
  <c r="BC13" i="10"/>
  <c r="BD13" i="10" s="1"/>
  <c r="BE13" i="10" s="1"/>
  <c r="BA26" i="10"/>
  <c r="BC26" i="10"/>
  <c r="BD26" i="10" s="1"/>
  <c r="BE26" i="10" s="1"/>
  <c r="BC15" i="10"/>
  <c r="BD15" i="10" s="1"/>
  <c r="BE15" i="10" s="1"/>
  <c r="BA15" i="10"/>
  <c r="BA16" i="10"/>
  <c r="BC16" i="10"/>
  <c r="BD16" i="10" s="1"/>
  <c r="BE16" i="10" s="1"/>
  <c r="BA27" i="10"/>
  <c r="BC27" i="10"/>
  <c r="BD27" i="10" s="1"/>
  <c r="BE27" i="10" s="1"/>
  <c r="BA20" i="10"/>
  <c r="BC20" i="10"/>
  <c r="BD20" i="10" s="1"/>
  <c r="BE20" i="10" s="1"/>
  <c r="BC12" i="10"/>
  <c r="BD12" i="10" s="1"/>
  <c r="BE12" i="10" s="1"/>
  <c r="BA12" i="10"/>
  <c r="M6" i="10"/>
  <c r="N7" i="10"/>
  <c r="BA11" i="12"/>
  <c r="BC11" i="12"/>
  <c r="BD11" i="12" s="1"/>
  <c r="BE11" i="12" s="1"/>
  <c r="BA10" i="12"/>
  <c r="BC10" i="12"/>
  <c r="BD10" i="12" s="1"/>
  <c r="BE10" i="12" s="1"/>
  <c r="BA26" i="12"/>
  <c r="BC26" i="12"/>
  <c r="BD26" i="12" s="1"/>
  <c r="BE26" i="12" s="1"/>
  <c r="BC18" i="12"/>
  <c r="BD18" i="12" s="1"/>
  <c r="BE18" i="12" s="1"/>
  <c r="BA18" i="12"/>
  <c r="BA15" i="12"/>
  <c r="BC15" i="12"/>
  <c r="BD15" i="12" s="1"/>
  <c r="BE15" i="12" s="1"/>
  <c r="BC16" i="12"/>
  <c r="BD16" i="12" s="1"/>
  <c r="BE16" i="12" s="1"/>
  <c r="BA16" i="12"/>
  <c r="BC17" i="12"/>
  <c r="BD17" i="12" s="1"/>
  <c r="BE17" i="12" s="1"/>
  <c r="BA17" i="12"/>
  <c r="BC20" i="12"/>
  <c r="BD20" i="12" s="1"/>
  <c r="BE20" i="12" s="1"/>
  <c r="BA20" i="12"/>
  <c r="BC8" i="12"/>
  <c r="BD8" i="12" s="1"/>
  <c r="BE8" i="12" s="1"/>
  <c r="BA8" i="12"/>
  <c r="N7" i="12"/>
  <c r="M6" i="12"/>
  <c r="BC23" i="12"/>
  <c r="BD23" i="12" s="1"/>
  <c r="BE23" i="12" s="1"/>
  <c r="BA23" i="12"/>
  <c r="BC27" i="12"/>
  <c r="BD27" i="12" s="1"/>
  <c r="BE27" i="12" s="1"/>
  <c r="BA27" i="12"/>
  <c r="BA22" i="12"/>
  <c r="BC22" i="12"/>
  <c r="BD22" i="12" s="1"/>
  <c r="BE22" i="12" s="1"/>
  <c r="BC15" i="11"/>
  <c r="BD15" i="11" s="1"/>
  <c r="BE15" i="11" s="1"/>
  <c r="BA15" i="11"/>
  <c r="BC21" i="11"/>
  <c r="BD21" i="11" s="1"/>
  <c r="BE21" i="11" s="1"/>
  <c r="BA21" i="11"/>
  <c r="BC26" i="11"/>
  <c r="BD26" i="11" s="1"/>
  <c r="BE26" i="11" s="1"/>
  <c r="BA26" i="11"/>
  <c r="BC20" i="11"/>
  <c r="BD20" i="11" s="1"/>
  <c r="BE20" i="11" s="1"/>
  <c r="BA20" i="11"/>
  <c r="BC19" i="11"/>
  <c r="BD19" i="11" s="1"/>
  <c r="BE19" i="11" s="1"/>
  <c r="BA19" i="11"/>
  <c r="M7" i="11"/>
  <c r="L6" i="11"/>
  <c r="BC9" i="11"/>
  <c r="BD9" i="11" s="1"/>
  <c r="BE9" i="11" s="1"/>
  <c r="BA9" i="11"/>
  <c r="BA13" i="11"/>
  <c r="BC13" i="11"/>
  <c r="BD13" i="11" s="1"/>
  <c r="BE13" i="11" s="1"/>
  <c r="BC16" i="11"/>
  <c r="BD16" i="11" s="1"/>
  <c r="BE16" i="11" s="1"/>
  <c r="BA16" i="11"/>
  <c r="BA12" i="11"/>
  <c r="BC12" i="11"/>
  <c r="BD12" i="11" s="1"/>
  <c r="BE12" i="11" s="1"/>
  <c r="BA14" i="11"/>
  <c r="BC14" i="11"/>
  <c r="BD14" i="11" s="1"/>
  <c r="BE14" i="11" s="1"/>
  <c r="BC8" i="11"/>
  <c r="BD8" i="11" s="1"/>
  <c r="BE8" i="11" s="1"/>
  <c r="BA8" i="11"/>
  <c r="BC11" i="11"/>
  <c r="BD11" i="11" s="1"/>
  <c r="BE11" i="11" s="1"/>
  <c r="BA11" i="11"/>
  <c r="BC23" i="11"/>
  <c r="BD23" i="11" s="1"/>
  <c r="BE23" i="11" s="1"/>
  <c r="BA23" i="11"/>
  <c r="BA18" i="11"/>
  <c r="BC18" i="11"/>
  <c r="BD18" i="11" s="1"/>
  <c r="BE18" i="11" s="1"/>
  <c r="BC22" i="11"/>
  <c r="BD22" i="11" s="1"/>
  <c r="BE22" i="11" s="1"/>
  <c r="BA22" i="11"/>
  <c r="BA17" i="11"/>
  <c r="BC17" i="11"/>
  <c r="BD17" i="11" s="1"/>
  <c r="BE17" i="11" s="1"/>
  <c r="BA27" i="11"/>
  <c r="BC27" i="11"/>
  <c r="BD27" i="11" s="1"/>
  <c r="BE27" i="11" s="1"/>
  <c r="BC10" i="11"/>
  <c r="BD10" i="11" s="1"/>
  <c r="BE10" i="11" s="1"/>
  <c r="BA10" i="11"/>
  <c r="BC25" i="11"/>
  <c r="BD25" i="11" s="1"/>
  <c r="BE25" i="11" s="1"/>
  <c r="BA25" i="11"/>
  <c r="BA16" i="13"/>
  <c r="BC16" i="13"/>
  <c r="BD16" i="13" s="1"/>
  <c r="BE16" i="13" s="1"/>
  <c r="BC14" i="13"/>
  <c r="BD14" i="13" s="1"/>
  <c r="BE14" i="13" s="1"/>
  <c r="BA14" i="13"/>
  <c r="BA26" i="13"/>
  <c r="BC26" i="13"/>
  <c r="BD26" i="13" s="1"/>
  <c r="BE26" i="13" s="1"/>
  <c r="BC10" i="13"/>
  <c r="BD10" i="13" s="1"/>
  <c r="BE10" i="13" s="1"/>
  <c r="BA10" i="13"/>
  <c r="BA20" i="13"/>
  <c r="BC20" i="13"/>
  <c r="BD20" i="13" s="1"/>
  <c r="BE20" i="13" s="1"/>
  <c r="BA12" i="13"/>
  <c r="BC12" i="13"/>
  <c r="BD12" i="13" s="1"/>
  <c r="BE12" i="13" s="1"/>
  <c r="BC23" i="13"/>
  <c r="BD23" i="13" s="1"/>
  <c r="BE23" i="13" s="1"/>
  <c r="BA23" i="13"/>
  <c r="BA15" i="13"/>
  <c r="BC15" i="13"/>
  <c r="BD15" i="13" s="1"/>
  <c r="BE15" i="13" s="1"/>
  <c r="BC9" i="13"/>
  <c r="BD9" i="13" s="1"/>
  <c r="BE9" i="13" s="1"/>
  <c r="BA9" i="13"/>
  <c r="BA13" i="13"/>
  <c r="BC13" i="13"/>
  <c r="BD13" i="13" s="1"/>
  <c r="BE13" i="13" s="1"/>
  <c r="BC24" i="13"/>
  <c r="BD24" i="13" s="1"/>
  <c r="BE24" i="13" s="1"/>
  <c r="BA24" i="13"/>
  <c r="BC11" i="13"/>
  <c r="BD11" i="13" s="1"/>
  <c r="BE11" i="13" s="1"/>
  <c r="BA11" i="13"/>
  <c r="BC17" i="13"/>
  <c r="BD17" i="13" s="1"/>
  <c r="BE17" i="13" s="1"/>
  <c r="BA17" i="13"/>
  <c r="BC27" i="13"/>
  <c r="BD27" i="13" s="1"/>
  <c r="BE27" i="13" s="1"/>
  <c r="BA27" i="13"/>
  <c r="BA22" i="13"/>
  <c r="BC22" i="13"/>
  <c r="BD22" i="13" s="1"/>
  <c r="BE22" i="13" s="1"/>
  <c r="M7" i="13"/>
  <c r="L6" i="13"/>
  <c r="BC21" i="13"/>
  <c r="BD21" i="13" s="1"/>
  <c r="BE21" i="13" s="1"/>
  <c r="BA21" i="13"/>
  <c r="BC18" i="13"/>
  <c r="BD18" i="13" s="1"/>
  <c r="BE18" i="13" s="1"/>
  <c r="BA18" i="13"/>
  <c r="BA19" i="13"/>
  <c r="BC19" i="13"/>
  <c r="BD19" i="13" s="1"/>
  <c r="BE19" i="13" s="1"/>
  <c r="BC8" i="13"/>
  <c r="BD8" i="13" s="1"/>
  <c r="BE8" i="13" s="1"/>
  <c r="BA8" i="13"/>
  <c r="BC15" i="14"/>
  <c r="BD15" i="14" s="1"/>
  <c r="BE15" i="14" s="1"/>
  <c r="BA15" i="14"/>
  <c r="BA25" i="14"/>
  <c r="BC25" i="14"/>
  <c r="BD25" i="14" s="1"/>
  <c r="BE25" i="14" s="1"/>
  <c r="BC16" i="14"/>
  <c r="BD16" i="14" s="1"/>
  <c r="BE16" i="14" s="1"/>
  <c r="BA16" i="14"/>
  <c r="BC10" i="14"/>
  <c r="BD10" i="14" s="1"/>
  <c r="BE10" i="14" s="1"/>
  <c r="BA10" i="14"/>
  <c r="BC23" i="14"/>
  <c r="BD23" i="14" s="1"/>
  <c r="BE23" i="14" s="1"/>
  <c r="BA23" i="14"/>
  <c r="O7" i="14"/>
  <c r="N6" i="14"/>
  <c r="M6" i="7" l="1"/>
  <c r="N7" i="7"/>
  <c r="N7" i="8"/>
  <c r="M6" i="8"/>
  <c r="N7" i="6"/>
  <c r="M6" i="6"/>
  <c r="Q7" i="5"/>
  <c r="P6" i="5"/>
  <c r="M6" i="4"/>
  <c r="N7" i="4"/>
  <c r="P6" i="2"/>
  <c r="Q7" i="2"/>
  <c r="N6" i="9"/>
  <c r="O7" i="9"/>
  <c r="O7" i="10"/>
  <c r="N6" i="10"/>
  <c r="N6" i="12"/>
  <c r="O7" i="12"/>
  <c r="M6" i="11"/>
  <c r="N7" i="11"/>
  <c r="M6" i="13"/>
  <c r="N7" i="13"/>
  <c r="P7" i="14"/>
  <c r="O6" i="14"/>
  <c r="N6" i="7" l="1"/>
  <c r="O7" i="7"/>
  <c r="N6" i="8"/>
  <c r="O7" i="8"/>
  <c r="N6" i="6"/>
  <c r="O7" i="6"/>
  <c r="Q6" i="5"/>
  <c r="R7" i="5"/>
  <c r="O7" i="4"/>
  <c r="N6" i="4"/>
  <c r="Q6" i="2"/>
  <c r="R7" i="2"/>
  <c r="O6" i="9"/>
  <c r="P7" i="9"/>
  <c r="P7" i="10"/>
  <c r="O6" i="10"/>
  <c r="P7" i="12"/>
  <c r="O6" i="12"/>
  <c r="N6" i="11"/>
  <c r="O7" i="11"/>
  <c r="N6" i="13"/>
  <c r="O7" i="13"/>
  <c r="Q7" i="14"/>
  <c r="P6" i="14"/>
  <c r="P7" i="7" l="1"/>
  <c r="O6" i="7"/>
  <c r="P7" i="8"/>
  <c r="O6" i="8"/>
  <c r="O6" i="6"/>
  <c r="P7" i="6"/>
  <c r="R6" i="5"/>
  <c r="S7" i="5"/>
  <c r="P7" i="4"/>
  <c r="O6" i="4"/>
  <c r="R6" i="2"/>
  <c r="S7" i="2"/>
  <c r="P6" i="9"/>
  <c r="Q7" i="9"/>
  <c r="P6" i="10"/>
  <c r="Q7" i="10"/>
  <c r="P6" i="12"/>
  <c r="Q7" i="12"/>
  <c r="O6" i="11"/>
  <c r="P7" i="11"/>
  <c r="O6" i="13"/>
  <c r="P7" i="13"/>
  <c r="Q6" i="14"/>
  <c r="R7" i="14"/>
  <c r="Q7" i="7" l="1"/>
  <c r="P6" i="7"/>
  <c r="P6" i="8"/>
  <c r="Q7" i="8"/>
  <c r="P6" i="6"/>
  <c r="Q7" i="6"/>
  <c r="T7" i="5"/>
  <c r="S6" i="5"/>
  <c r="P6" i="4"/>
  <c r="Q7" i="4"/>
  <c r="S6" i="2"/>
  <c r="T7" i="2"/>
  <c r="Q6" i="9"/>
  <c r="R7" i="9"/>
  <c r="R7" i="10"/>
  <c r="Q6" i="10"/>
  <c r="R7" i="12"/>
  <c r="Q6" i="12"/>
  <c r="P6" i="11"/>
  <c r="Q7" i="11"/>
  <c r="P6" i="13"/>
  <c r="Q7" i="13"/>
  <c r="R6" i="14"/>
  <c r="S7" i="14"/>
  <c r="Q6" i="7" l="1"/>
  <c r="R7" i="7"/>
  <c r="R7" i="8"/>
  <c r="Q6" i="8"/>
  <c r="Q6" i="6"/>
  <c r="R7" i="6"/>
  <c r="U7" i="5"/>
  <c r="T6" i="5"/>
  <c r="Q6" i="4"/>
  <c r="R7" i="4"/>
  <c r="T6" i="2"/>
  <c r="U7" i="2"/>
  <c r="S7" i="9"/>
  <c r="R6" i="9"/>
  <c r="S7" i="10"/>
  <c r="R6" i="10"/>
  <c r="S7" i="12"/>
  <c r="R6" i="12"/>
  <c r="R7" i="11"/>
  <c r="Q6" i="11"/>
  <c r="R7" i="13"/>
  <c r="Q6" i="13"/>
  <c r="S6" i="14"/>
  <c r="T7" i="14"/>
  <c r="R6" i="7" l="1"/>
  <c r="S7" i="7"/>
  <c r="S7" i="8"/>
  <c r="R6" i="8"/>
  <c r="S7" i="6"/>
  <c r="R6" i="6"/>
  <c r="V7" i="5"/>
  <c r="U6" i="5"/>
  <c r="S7" i="4"/>
  <c r="R6" i="4"/>
  <c r="U6" i="2"/>
  <c r="V7" i="2"/>
  <c r="T7" i="9"/>
  <c r="S6" i="9"/>
  <c r="T7" i="10"/>
  <c r="S6" i="10"/>
  <c r="S6" i="12"/>
  <c r="T7" i="12"/>
  <c r="S7" i="11"/>
  <c r="R6" i="11"/>
  <c r="R6" i="13"/>
  <c r="S7" i="13"/>
  <c r="T6" i="14"/>
  <c r="U7" i="14"/>
  <c r="S6" i="7" l="1"/>
  <c r="T7" i="7"/>
  <c r="T7" i="8"/>
  <c r="S6" i="8"/>
  <c r="S6" i="6"/>
  <c r="T7" i="6"/>
  <c r="V6" i="5"/>
  <c r="W7" i="5"/>
  <c r="T7" i="4"/>
  <c r="S6" i="4"/>
  <c r="V6" i="2"/>
  <c r="W7" i="2"/>
  <c r="T6" i="9"/>
  <c r="U7" i="9"/>
  <c r="U7" i="10"/>
  <c r="T6" i="10"/>
  <c r="T6" i="12"/>
  <c r="U7" i="12"/>
  <c r="S6" i="11"/>
  <c r="T7" i="11"/>
  <c r="T7" i="13"/>
  <c r="S6" i="13"/>
  <c r="V7" i="14"/>
  <c r="U6" i="14"/>
  <c r="U7" i="7" l="1"/>
  <c r="T6" i="7"/>
  <c r="U7" i="8"/>
  <c r="T6" i="8"/>
  <c r="U7" i="6"/>
  <c r="T6" i="6"/>
  <c r="W6" i="5"/>
  <c r="X7" i="5"/>
  <c r="T6" i="4"/>
  <c r="U7" i="4"/>
  <c r="W6" i="2"/>
  <c r="X7" i="2"/>
  <c r="U6" i="9"/>
  <c r="V7" i="9"/>
  <c r="V7" i="10"/>
  <c r="U6" i="10"/>
  <c r="V7" i="12"/>
  <c r="U6" i="12"/>
  <c r="U7" i="11"/>
  <c r="T6" i="11"/>
  <c r="U7" i="13"/>
  <c r="T6" i="13"/>
  <c r="W7" i="14"/>
  <c r="V6" i="14"/>
  <c r="U6" i="7" l="1"/>
  <c r="V7" i="7"/>
  <c r="V7" i="8"/>
  <c r="U6" i="8"/>
  <c r="U6" i="6"/>
  <c r="V7" i="6"/>
  <c r="X6" i="5"/>
  <c r="Y7" i="5"/>
  <c r="V7" i="4"/>
  <c r="U6" i="4"/>
  <c r="X6" i="2"/>
  <c r="Y7" i="2"/>
  <c r="W7" i="9"/>
  <c r="V6" i="9"/>
  <c r="W7" i="10"/>
  <c r="V6" i="10"/>
  <c r="V6" i="12"/>
  <c r="W7" i="12"/>
  <c r="U6" i="11"/>
  <c r="V7" i="11"/>
  <c r="U6" i="13"/>
  <c r="V7" i="13"/>
  <c r="X7" i="14"/>
  <c r="W6" i="14"/>
  <c r="W7" i="7" l="1"/>
  <c r="V6" i="7"/>
  <c r="W7" i="8"/>
  <c r="V6" i="8"/>
  <c r="W7" i="6"/>
  <c r="V6" i="6"/>
  <c r="Z7" i="5"/>
  <c r="Y6" i="5"/>
  <c r="W7" i="4"/>
  <c r="V6" i="4"/>
  <c r="Y6" i="2"/>
  <c r="Z7" i="2"/>
  <c r="W6" i="9"/>
  <c r="X7" i="9"/>
  <c r="X7" i="10"/>
  <c r="W6" i="10"/>
  <c r="X7" i="12"/>
  <c r="W6" i="12"/>
  <c r="V6" i="11"/>
  <c r="W7" i="11"/>
  <c r="V6" i="13"/>
  <c r="W7" i="13"/>
  <c r="Y7" i="14"/>
  <c r="X6" i="14"/>
  <c r="W6" i="7" l="1"/>
  <c r="X7" i="7"/>
  <c r="W6" i="8"/>
  <c r="X7" i="8"/>
  <c r="X7" i="6"/>
  <c r="W6" i="6"/>
  <c r="AA7" i="5"/>
  <c r="Z6" i="5"/>
  <c r="W6" i="4"/>
  <c r="X7" i="4"/>
  <c r="AA7" i="2"/>
  <c r="Z6" i="2"/>
  <c r="X6" i="9"/>
  <c r="Y7" i="9"/>
  <c r="Y7" i="10"/>
  <c r="X6" i="10"/>
  <c r="Y7" i="12"/>
  <c r="X6" i="12"/>
  <c r="X7" i="11"/>
  <c r="W6" i="11"/>
  <c r="W6" i="13"/>
  <c r="X7" i="13"/>
  <c r="Z7" i="14"/>
  <c r="Y6" i="14"/>
  <c r="Y7" i="7" l="1"/>
  <c r="X6" i="7"/>
  <c r="Y7" i="8"/>
  <c r="X6" i="8"/>
  <c r="Y7" i="6"/>
  <c r="X6" i="6"/>
  <c r="AA6" i="5"/>
  <c r="AB7" i="5"/>
  <c r="Y7" i="4"/>
  <c r="X6" i="4"/>
  <c r="AB7" i="2"/>
  <c r="AA6" i="2"/>
  <c r="Z7" i="9"/>
  <c r="Y6" i="9"/>
  <c r="Z7" i="10"/>
  <c r="Y6" i="10"/>
  <c r="Y6" i="12"/>
  <c r="Z7" i="12"/>
  <c r="Y7" i="11"/>
  <c r="X6" i="11"/>
  <c r="X6" i="13"/>
  <c r="Y7" i="13"/>
  <c r="Z6" i="14"/>
  <c r="AA7" i="14"/>
  <c r="Z7" i="7" l="1"/>
  <c r="Y6" i="7"/>
  <c r="Y6" i="8"/>
  <c r="Z7" i="8"/>
  <c r="Z7" i="6"/>
  <c r="Y6" i="6"/>
  <c r="AC7" i="5"/>
  <c r="AB6" i="5"/>
  <c r="Z7" i="4"/>
  <c r="Y6" i="4"/>
  <c r="AB6" i="2"/>
  <c r="AC7" i="2"/>
  <c r="AA7" i="9"/>
  <c r="Z6" i="9"/>
  <c r="Z6" i="10"/>
  <c r="AA7" i="10"/>
  <c r="Z6" i="12"/>
  <c r="AA7" i="12"/>
  <c r="Z7" i="11"/>
  <c r="Y6" i="11"/>
  <c r="Z7" i="13"/>
  <c r="Y6" i="13"/>
  <c r="AA6" i="14"/>
  <c r="AB7" i="14"/>
  <c r="AA7" i="7" l="1"/>
  <c r="Z6" i="7"/>
  <c r="Z6" i="8"/>
  <c r="AA7" i="8"/>
  <c r="Z6" i="6"/>
  <c r="AA7" i="6"/>
  <c r="AD7" i="5"/>
  <c r="AC6" i="5"/>
  <c r="Z6" i="4"/>
  <c r="AA7" i="4"/>
  <c r="AC6" i="2"/>
  <c r="AD7" i="2"/>
  <c r="AB7" i="9"/>
  <c r="AA6" i="9"/>
  <c r="AB7" i="10"/>
  <c r="AA6" i="10"/>
  <c r="AB7" i="12"/>
  <c r="AA6" i="12"/>
  <c r="AA7" i="11"/>
  <c r="Z6" i="11"/>
  <c r="AA7" i="13"/>
  <c r="Z6" i="13"/>
  <c r="AB6" i="14"/>
  <c r="AC7" i="14"/>
  <c r="AA6" i="7" l="1"/>
  <c r="AB7" i="7"/>
  <c r="AB7" i="8"/>
  <c r="AA6" i="8"/>
  <c r="AB7" i="6"/>
  <c r="AA6" i="6"/>
  <c r="AD6" i="5"/>
  <c r="AE7" i="5"/>
  <c r="AB7" i="4"/>
  <c r="AA6" i="4"/>
  <c r="AD6" i="2"/>
  <c r="AE7" i="2"/>
  <c r="AB6" i="9"/>
  <c r="AC7" i="9"/>
  <c r="AB6" i="10"/>
  <c r="AC7" i="10"/>
  <c r="AB6" i="12"/>
  <c r="AC7" i="12"/>
  <c r="AA6" i="11"/>
  <c r="AB7" i="11"/>
  <c r="AB7" i="13"/>
  <c r="AA6" i="13"/>
  <c r="AD7" i="14"/>
  <c r="AC6" i="14"/>
  <c r="AC7" i="7" l="1"/>
  <c r="AB6" i="7"/>
  <c r="AC7" i="8"/>
  <c r="AB6" i="8"/>
  <c r="AC7" i="6"/>
  <c r="AB6" i="6"/>
  <c r="AE6" i="5"/>
  <c r="AF7" i="5"/>
  <c r="AC7" i="4"/>
  <c r="AB6" i="4"/>
  <c r="AF7" i="2"/>
  <c r="AE6" i="2"/>
  <c r="AC6" i="9"/>
  <c r="AD7" i="9"/>
  <c r="AD7" i="10"/>
  <c r="AC6" i="10"/>
  <c r="AC6" i="12"/>
  <c r="AD7" i="12"/>
  <c r="AB6" i="11"/>
  <c r="AC7" i="11"/>
  <c r="AC7" i="13"/>
  <c r="AB6" i="13"/>
  <c r="AD6" i="14"/>
  <c r="AE7" i="14"/>
  <c r="AD7" i="7" l="1"/>
  <c r="AC6" i="7"/>
  <c r="AC6" i="8"/>
  <c r="AD7" i="8"/>
  <c r="AC6" i="6"/>
  <c r="AD7" i="6"/>
  <c r="AG7" i="5"/>
  <c r="AF6" i="5"/>
  <c r="AD7" i="4"/>
  <c r="AC6" i="4"/>
  <c r="AF6" i="2"/>
  <c r="AG7" i="2"/>
  <c r="AE7" i="9"/>
  <c r="AD6" i="9"/>
  <c r="AE7" i="10"/>
  <c r="AD6" i="10"/>
  <c r="AE7" i="12"/>
  <c r="AD6" i="12"/>
  <c r="AD7" i="11"/>
  <c r="AC6" i="11"/>
  <c r="AC6" i="13"/>
  <c r="AD7" i="13"/>
  <c r="AF7" i="14"/>
  <c r="AE6" i="14"/>
  <c r="AD6" i="7" l="1"/>
  <c r="AE7" i="7"/>
  <c r="AE7" i="8"/>
  <c r="AD6" i="8"/>
  <c r="AD6" i="6"/>
  <c r="AE7" i="6"/>
  <c r="AG6" i="5"/>
  <c r="AH7" i="5"/>
  <c r="AE7" i="4"/>
  <c r="AD6" i="4"/>
  <c r="AG6" i="2"/>
  <c r="AH7" i="2"/>
  <c r="AD15" i="9"/>
  <c r="AD9" i="9"/>
  <c r="AD20" i="9"/>
  <c r="AD13" i="9"/>
  <c r="AD21" i="9"/>
  <c r="AD26" i="9"/>
  <c r="AD8" i="9"/>
  <c r="AD24" i="9"/>
  <c r="AD10" i="9"/>
  <c r="AD12" i="9"/>
  <c r="AD18" i="9"/>
  <c r="AD14" i="9"/>
  <c r="AD11" i="9"/>
  <c r="AD23" i="9"/>
  <c r="AD25" i="9"/>
  <c r="AD22" i="9"/>
  <c r="AD17" i="9"/>
  <c r="AD27" i="9"/>
  <c r="AD16" i="9"/>
  <c r="AD19" i="9"/>
  <c r="AF7" i="9"/>
  <c r="AE6" i="9"/>
  <c r="AF7" i="10"/>
  <c r="AE6" i="10"/>
  <c r="AE6" i="12"/>
  <c r="AF7" i="12"/>
  <c r="AE7" i="11"/>
  <c r="AD6" i="11"/>
  <c r="AE7" i="13"/>
  <c r="AD6" i="13"/>
  <c r="AG7" i="14"/>
  <c r="AF6" i="14"/>
  <c r="AF7" i="7" l="1"/>
  <c r="AE6" i="7"/>
  <c r="AF7" i="8"/>
  <c r="AE6" i="8"/>
  <c r="AE6" i="6"/>
  <c r="AF7" i="6"/>
  <c r="AD17" i="6"/>
  <c r="AD19" i="6"/>
  <c r="AD23" i="6"/>
  <c r="AD25" i="6"/>
  <c r="AD10" i="6"/>
  <c r="AD20" i="6"/>
  <c r="AD24" i="6"/>
  <c r="AD21" i="6"/>
  <c r="AD16" i="6"/>
  <c r="AD12" i="6"/>
  <c r="AD18" i="6"/>
  <c r="AD15" i="6"/>
  <c r="AD26" i="6"/>
  <c r="AD22" i="6"/>
  <c r="AD13" i="6"/>
  <c r="AD27" i="6"/>
  <c r="AD14" i="6"/>
  <c r="AD8" i="6"/>
  <c r="AD11" i="6"/>
  <c r="AD9" i="6"/>
  <c r="AI7" i="5"/>
  <c r="AH6" i="5"/>
  <c r="AE6" i="4"/>
  <c r="AF7" i="4"/>
  <c r="AH6" i="2"/>
  <c r="AI7" i="2"/>
  <c r="AG7" i="9"/>
  <c r="AF6" i="9"/>
  <c r="AG7" i="10"/>
  <c r="AF6" i="10"/>
  <c r="AG7" i="12"/>
  <c r="AF6" i="12"/>
  <c r="AE6" i="11"/>
  <c r="AF7" i="11"/>
  <c r="AE6" i="13"/>
  <c r="AF7" i="13"/>
  <c r="AH7" i="14"/>
  <c r="AG6" i="14"/>
  <c r="AG7" i="7" l="1"/>
  <c r="AF6" i="7"/>
  <c r="AF6" i="8"/>
  <c r="AG7" i="8"/>
  <c r="AG7" i="6"/>
  <c r="AF6" i="6"/>
  <c r="AJ7" i="5"/>
  <c r="AI6" i="5"/>
  <c r="AF6" i="4"/>
  <c r="AG7" i="4"/>
  <c r="AJ7" i="2"/>
  <c r="AI6" i="2"/>
  <c r="AH7" i="9"/>
  <c r="AG6" i="9"/>
  <c r="AH7" i="10"/>
  <c r="AG6" i="10"/>
  <c r="AG6" i="12"/>
  <c r="AH7" i="12"/>
  <c r="AF6" i="11"/>
  <c r="AG7" i="11"/>
  <c r="AF6" i="13"/>
  <c r="AG7" i="13"/>
  <c r="AI7" i="14"/>
  <c r="AH6" i="14"/>
  <c r="AH7" i="7" l="1"/>
  <c r="AG6" i="7"/>
  <c r="AG6" i="8"/>
  <c r="AH7" i="8"/>
  <c r="AH7" i="6"/>
  <c r="AG6" i="6"/>
  <c r="AJ6" i="5"/>
  <c r="AK7" i="5"/>
  <c r="AG6" i="4"/>
  <c r="AH7" i="4"/>
  <c r="AJ6" i="2"/>
  <c r="AK7" i="2"/>
  <c r="AI7" i="9"/>
  <c r="AH6" i="9"/>
  <c r="AI7" i="10"/>
  <c r="AH6" i="10"/>
  <c r="AH6" i="12"/>
  <c r="AI7" i="12"/>
  <c r="AH7" i="11"/>
  <c r="AG6" i="11"/>
  <c r="AH7" i="13"/>
  <c r="AG6" i="13"/>
  <c r="AJ7" i="14"/>
  <c r="AI6" i="14"/>
  <c r="AH6" i="7" l="1"/>
  <c r="AI7" i="7"/>
  <c r="AI7" i="8"/>
  <c r="AH6" i="8"/>
  <c r="AI7" i="6"/>
  <c r="AH6" i="6"/>
  <c r="AL7" i="5"/>
  <c r="AK6" i="5"/>
  <c r="AI7" i="4"/>
  <c r="AH6" i="4"/>
  <c r="AK6" i="2"/>
  <c r="AL7" i="2"/>
  <c r="AJ7" i="9"/>
  <c r="AI6" i="9"/>
  <c r="AJ7" i="10"/>
  <c r="AI6" i="10"/>
  <c r="AJ7" i="12"/>
  <c r="AI6" i="12"/>
  <c r="AH6" i="11"/>
  <c r="AI7" i="11"/>
  <c r="AH6" i="13"/>
  <c r="AI7" i="13"/>
  <c r="AJ6" i="14"/>
  <c r="AK7" i="14"/>
  <c r="AI6" i="7" l="1"/>
  <c r="AJ7" i="7"/>
  <c r="AJ7" i="8"/>
  <c r="AI6" i="8"/>
  <c r="AI6" i="6"/>
  <c r="AJ7" i="6"/>
  <c r="AL6" i="5"/>
  <c r="AM7" i="5"/>
  <c r="AI6" i="4"/>
  <c r="AJ7" i="4"/>
  <c r="AL6" i="2"/>
  <c r="AM7" i="2"/>
  <c r="AK7" i="9"/>
  <c r="AJ6" i="9"/>
  <c r="AK7" i="10"/>
  <c r="AJ6" i="10"/>
  <c r="AK7" i="12"/>
  <c r="AJ6" i="12"/>
  <c r="AI6" i="11"/>
  <c r="AJ7" i="11"/>
  <c r="AI6" i="13"/>
  <c r="AJ7" i="13"/>
  <c r="AL7" i="14"/>
  <c r="AK6" i="14"/>
  <c r="AJ6" i="7" l="1"/>
  <c r="AK7" i="7"/>
  <c r="AJ6" i="8"/>
  <c r="AK7" i="8"/>
  <c r="AK7" i="6"/>
  <c r="AJ6" i="6"/>
  <c r="AN7" i="5"/>
  <c r="AM6" i="5"/>
  <c r="AK7" i="4"/>
  <c r="AJ6" i="4"/>
  <c r="AN7" i="2"/>
  <c r="AM6" i="2"/>
  <c r="AK6" i="9"/>
  <c r="AL7" i="9"/>
  <c r="AL7" i="10"/>
  <c r="AK6" i="10"/>
  <c r="AK6" i="12"/>
  <c r="AL7" i="12"/>
  <c r="AK7" i="11"/>
  <c r="AJ6" i="11"/>
  <c r="AJ6" i="13"/>
  <c r="AK7" i="13"/>
  <c r="AM7" i="14"/>
  <c r="AL6" i="14"/>
  <c r="AK6" i="7" l="1"/>
  <c r="AL7" i="7"/>
  <c r="AK6" i="8"/>
  <c r="AL7" i="8"/>
  <c r="AL7" i="6"/>
  <c r="AK6" i="6"/>
  <c r="AN6" i="5"/>
  <c r="AO7" i="5"/>
  <c r="AO6" i="5" s="1"/>
  <c r="AL7" i="4"/>
  <c r="AK6" i="4"/>
  <c r="AO7" i="2"/>
  <c r="AO6" i="2" s="1"/>
  <c r="AN6" i="2"/>
  <c r="AM7" i="9"/>
  <c r="AL6" i="9"/>
  <c r="AK20" i="9"/>
  <c r="AK18" i="9"/>
  <c r="AK27" i="9"/>
  <c r="AK12" i="9"/>
  <c r="AK21" i="9"/>
  <c r="AK25" i="9"/>
  <c r="AK24" i="9"/>
  <c r="AK15" i="9"/>
  <c r="AK10" i="9"/>
  <c r="AK8" i="9"/>
  <c r="AK23" i="9"/>
  <c r="AK13" i="9"/>
  <c r="AK16" i="9"/>
  <c r="AK17" i="9"/>
  <c r="AK22" i="9"/>
  <c r="AK9" i="9"/>
  <c r="AK14" i="9"/>
  <c r="AK26" i="9"/>
  <c r="AK11" i="9"/>
  <c r="AK19" i="9"/>
  <c r="AL6" i="10"/>
  <c r="AM7" i="10"/>
  <c r="AM7" i="12"/>
  <c r="AL6" i="12"/>
  <c r="AK6" i="11"/>
  <c r="AL7" i="11"/>
  <c r="AK6" i="13"/>
  <c r="AL7" i="13"/>
  <c r="AN7" i="14"/>
  <c r="AM6" i="14"/>
  <c r="AM7" i="7" l="1"/>
  <c r="AL6" i="7"/>
  <c r="AM7" i="8"/>
  <c r="AL6" i="8"/>
  <c r="AK9" i="6"/>
  <c r="AK25" i="6"/>
  <c r="AK23" i="6"/>
  <c r="AK24" i="6"/>
  <c r="AK27" i="6"/>
  <c r="AK13" i="6"/>
  <c r="AK16" i="6"/>
  <c r="AK21" i="6"/>
  <c r="AK17" i="6"/>
  <c r="AK8" i="6"/>
  <c r="AK18" i="6"/>
  <c r="AK12" i="6"/>
  <c r="AK19" i="6"/>
  <c r="AK26" i="6"/>
  <c r="AK20" i="6"/>
  <c r="AK14" i="6"/>
  <c r="AK15" i="6"/>
  <c r="AK11" i="6"/>
  <c r="AK22" i="6"/>
  <c r="AK10" i="6"/>
  <c r="AL6" i="6"/>
  <c r="AM7" i="6"/>
  <c r="J16" i="5"/>
  <c r="J17" i="5"/>
  <c r="J21" i="5"/>
  <c r="J12" i="5"/>
  <c r="J18" i="5"/>
  <c r="J9" i="5"/>
  <c r="J13" i="5"/>
  <c r="J14" i="5"/>
  <c r="J25" i="5"/>
  <c r="J23" i="5"/>
  <c r="J15" i="5"/>
  <c r="J26" i="5"/>
  <c r="J10" i="5"/>
  <c r="J19" i="5"/>
  <c r="J20" i="5"/>
  <c r="J22" i="5"/>
  <c r="J24" i="5"/>
  <c r="J27" i="5"/>
  <c r="J11" i="5"/>
  <c r="J8" i="5"/>
  <c r="AM7" i="4"/>
  <c r="AL6" i="4"/>
  <c r="J23" i="2"/>
  <c r="J14" i="2"/>
  <c r="J13" i="2"/>
  <c r="J12" i="2"/>
  <c r="J9" i="2"/>
  <c r="J21" i="2"/>
  <c r="J19" i="2"/>
  <c r="J20" i="2"/>
  <c r="J27" i="2"/>
  <c r="J24" i="2"/>
  <c r="J11" i="2"/>
  <c r="J8" i="2"/>
  <c r="J26" i="2"/>
  <c r="J16" i="2"/>
  <c r="J10" i="2"/>
  <c r="J18" i="2"/>
  <c r="J17" i="2"/>
  <c r="J22" i="2"/>
  <c r="J15" i="2"/>
  <c r="J25" i="2"/>
  <c r="AX19" i="9"/>
  <c r="AV19" i="9"/>
  <c r="AW19" i="9"/>
  <c r="AY19" i="9"/>
  <c r="AX17" i="9"/>
  <c r="AY17" i="9"/>
  <c r="AW17" i="9"/>
  <c r="AV17" i="9"/>
  <c r="AX25" i="9"/>
  <c r="AV25" i="9"/>
  <c r="AY25" i="9"/>
  <c r="AW25" i="9"/>
  <c r="AX16" i="9"/>
  <c r="AV16" i="9"/>
  <c r="AY16" i="9"/>
  <c r="AW16" i="9"/>
  <c r="AY21" i="9"/>
  <c r="AW21" i="9"/>
  <c r="AX21" i="9"/>
  <c r="AV21" i="9"/>
  <c r="AV13" i="9"/>
  <c r="AX13" i="9"/>
  <c r="AY13" i="9"/>
  <c r="AW13" i="9"/>
  <c r="AY12" i="9"/>
  <c r="AX12" i="9"/>
  <c r="AW12" i="9"/>
  <c r="AV12" i="9"/>
  <c r="AW11" i="9"/>
  <c r="AX11" i="9"/>
  <c r="AY11" i="9"/>
  <c r="AV11" i="9"/>
  <c r="AY23" i="9"/>
  <c r="AX23" i="9"/>
  <c r="AV23" i="9"/>
  <c r="AW23" i="9"/>
  <c r="AY27" i="9"/>
  <c r="AW27" i="9"/>
  <c r="AV27" i="9"/>
  <c r="AX27" i="9"/>
  <c r="AX26" i="9"/>
  <c r="AV26" i="9"/>
  <c r="AW26" i="9"/>
  <c r="AY26" i="9"/>
  <c r="AY8" i="9"/>
  <c r="AW8" i="9"/>
  <c r="AV8" i="9"/>
  <c r="AX8" i="9"/>
  <c r="AW18" i="9"/>
  <c r="AX18" i="9"/>
  <c r="AV18" i="9"/>
  <c r="AY18" i="9"/>
  <c r="AX14" i="9"/>
  <c r="AY14" i="9"/>
  <c r="AV14" i="9"/>
  <c r="AW14" i="9"/>
  <c r="AX10" i="9"/>
  <c r="AY10" i="9"/>
  <c r="AW10" i="9"/>
  <c r="AV10" i="9"/>
  <c r="AY20" i="9"/>
  <c r="AW20" i="9"/>
  <c r="AV20" i="9"/>
  <c r="AX20" i="9"/>
  <c r="AX9" i="9"/>
  <c r="AY9" i="9"/>
  <c r="AV9" i="9"/>
  <c r="AW9" i="9"/>
  <c r="AV15" i="9"/>
  <c r="AY15" i="9"/>
  <c r="AW15" i="9"/>
  <c r="AX15" i="9"/>
  <c r="AV22" i="9"/>
  <c r="AY22" i="9"/>
  <c r="AW22" i="9"/>
  <c r="AX22" i="9"/>
  <c r="AX24" i="9"/>
  <c r="AV24" i="9"/>
  <c r="AW24" i="9"/>
  <c r="AY24" i="9"/>
  <c r="AN7" i="9"/>
  <c r="AM6" i="9"/>
  <c r="AN7" i="10"/>
  <c r="AM6" i="10"/>
  <c r="AN7" i="12"/>
  <c r="AM6" i="12"/>
  <c r="AM7" i="11"/>
  <c r="AL6" i="11"/>
  <c r="AL6" i="13"/>
  <c r="AM7" i="13"/>
  <c r="AN6" i="14"/>
  <c r="AO7" i="14"/>
  <c r="AO6" i="14" s="1"/>
  <c r="AN7" i="7" l="1"/>
  <c r="AM6" i="7"/>
  <c r="AN7" i="8"/>
  <c r="AM6" i="8"/>
  <c r="AX14" i="6"/>
  <c r="AW14" i="6"/>
  <c r="AV14" i="6"/>
  <c r="AY14" i="6"/>
  <c r="AV20" i="6"/>
  <c r="AY20" i="6"/>
  <c r="AW20" i="6"/>
  <c r="AX20" i="6"/>
  <c r="AW16" i="6"/>
  <c r="AX16" i="6"/>
  <c r="AV16" i="6"/>
  <c r="AY16" i="6"/>
  <c r="AM6" i="6"/>
  <c r="AN7" i="6"/>
  <c r="AX26" i="6"/>
  <c r="AY26" i="6"/>
  <c r="AW26" i="6"/>
  <c r="AV26" i="6"/>
  <c r="AW13" i="6"/>
  <c r="AY13" i="6"/>
  <c r="AX13" i="6"/>
  <c r="AV13" i="6"/>
  <c r="AV19" i="6"/>
  <c r="AY19" i="6"/>
  <c r="AW19" i="6"/>
  <c r="AX19" i="6"/>
  <c r="AX18" i="6"/>
  <c r="AV18" i="6"/>
  <c r="AY18" i="6"/>
  <c r="AW18" i="6"/>
  <c r="AX21" i="6"/>
  <c r="AY21" i="6"/>
  <c r="AW21" i="6"/>
  <c r="AV21" i="6"/>
  <c r="AV27" i="6"/>
  <c r="AX27" i="6"/>
  <c r="AW27" i="6"/>
  <c r="AY27" i="6"/>
  <c r="AY10" i="6"/>
  <c r="AV10" i="6"/>
  <c r="AX10" i="6"/>
  <c r="AW10" i="6"/>
  <c r="AX12" i="6"/>
  <c r="AY12" i="6"/>
  <c r="AV12" i="6"/>
  <c r="AW12" i="6"/>
  <c r="AW24" i="6"/>
  <c r="AX24" i="6"/>
  <c r="AV24" i="6"/>
  <c r="AY24" i="6"/>
  <c r="AX22" i="6"/>
  <c r="AW22" i="6"/>
  <c r="AV22" i="6"/>
  <c r="AY22" i="6"/>
  <c r="AY23" i="6"/>
  <c r="AW23" i="6"/>
  <c r="AX23" i="6"/>
  <c r="AV23" i="6"/>
  <c r="AW11" i="6"/>
  <c r="AY11" i="6"/>
  <c r="AV11" i="6"/>
  <c r="AX11" i="6"/>
  <c r="AY8" i="6"/>
  <c r="AV8" i="6"/>
  <c r="AW8" i="6"/>
  <c r="AX8" i="6"/>
  <c r="AX25" i="6"/>
  <c r="AY25" i="6"/>
  <c r="AW25" i="6"/>
  <c r="AV25" i="6"/>
  <c r="AW15" i="6"/>
  <c r="AX15" i="6"/>
  <c r="AY15" i="6"/>
  <c r="AV15" i="6"/>
  <c r="AX17" i="6"/>
  <c r="AV17" i="6"/>
  <c r="AW17" i="6"/>
  <c r="AY17" i="6"/>
  <c r="AY9" i="6"/>
  <c r="AV9" i="6"/>
  <c r="AX9" i="6"/>
  <c r="AW9" i="6"/>
  <c r="AN7" i="4"/>
  <c r="AM6" i="4"/>
  <c r="BA14" i="9"/>
  <c r="BD14" i="9"/>
  <c r="BE14" i="9" s="1"/>
  <c r="BA16" i="9"/>
  <c r="BD16" i="9"/>
  <c r="BE16" i="9" s="1"/>
  <c r="BA17" i="9"/>
  <c r="BD17" i="9"/>
  <c r="BE17" i="9" s="1"/>
  <c r="BA8" i="9"/>
  <c r="BD8" i="9"/>
  <c r="BE8" i="9" s="1"/>
  <c r="BD11" i="9"/>
  <c r="BE11" i="9" s="1"/>
  <c r="BA11" i="9"/>
  <c r="BA9" i="9"/>
  <c r="BD9" i="9"/>
  <c r="BE9" i="9" s="1"/>
  <c r="BA23" i="9"/>
  <c r="BD23" i="9"/>
  <c r="BE23" i="9" s="1"/>
  <c r="BD25" i="9"/>
  <c r="BE25" i="9" s="1"/>
  <c r="BA25" i="9"/>
  <c r="BA13" i="9"/>
  <c r="BD13" i="9"/>
  <c r="BE13" i="9" s="1"/>
  <c r="BA15" i="9"/>
  <c r="BD15" i="9"/>
  <c r="BE15" i="9" s="1"/>
  <c r="BA21" i="9"/>
  <c r="BD21" i="9"/>
  <c r="BE21" i="9" s="1"/>
  <c r="BA24" i="9"/>
  <c r="BD24" i="9"/>
  <c r="BE24" i="9" s="1"/>
  <c r="BA20" i="9"/>
  <c r="BD20" i="9"/>
  <c r="BE20" i="9" s="1"/>
  <c r="BA27" i="9"/>
  <c r="BD27" i="9"/>
  <c r="BE27" i="9" s="1"/>
  <c r="BA22" i="9"/>
  <c r="BD22" i="9"/>
  <c r="BE22" i="9" s="1"/>
  <c r="BA10" i="9"/>
  <c r="BD10" i="9"/>
  <c r="BE10" i="9" s="1"/>
  <c r="BD26" i="9"/>
  <c r="BE26" i="9" s="1"/>
  <c r="BA26" i="9"/>
  <c r="BA12" i="9"/>
  <c r="BD12" i="9"/>
  <c r="BE12" i="9" s="1"/>
  <c r="BA19" i="9"/>
  <c r="BD19" i="9"/>
  <c r="BE19" i="9" s="1"/>
  <c r="AO7" i="9"/>
  <c r="AO6" i="9" s="1"/>
  <c r="AN6" i="9"/>
  <c r="BA18" i="9"/>
  <c r="BD18" i="9"/>
  <c r="BE18" i="9" s="1"/>
  <c r="AN6" i="10"/>
  <c r="AO7" i="10"/>
  <c r="AO6" i="10" s="1"/>
  <c r="AO7" i="12"/>
  <c r="AO6" i="12" s="1"/>
  <c r="AN6" i="12"/>
  <c r="AN7" i="11"/>
  <c r="AM6" i="11"/>
  <c r="AM6" i="13"/>
  <c r="AN7" i="13"/>
  <c r="J12" i="14"/>
  <c r="J14" i="14"/>
  <c r="J24" i="14"/>
  <c r="J17" i="14"/>
  <c r="J21" i="14"/>
  <c r="J9" i="14"/>
  <c r="J15" i="14"/>
  <c r="J13" i="14"/>
  <c r="J18" i="14"/>
  <c r="J22" i="14"/>
  <c r="J25" i="14"/>
  <c r="J20" i="14"/>
  <c r="J27" i="14"/>
  <c r="J23" i="14"/>
  <c r="J11" i="14"/>
  <c r="J10" i="14"/>
  <c r="J16" i="14"/>
  <c r="J26" i="14"/>
  <c r="J8" i="14"/>
  <c r="J19" i="14"/>
  <c r="AO7" i="7" l="1"/>
  <c r="AO6" i="7" s="1"/>
  <c r="AN6" i="7"/>
  <c r="AO7" i="8"/>
  <c r="AO6" i="8" s="1"/>
  <c r="AN6" i="8"/>
  <c r="AN6" i="6"/>
  <c r="AO7" i="6"/>
  <c r="AO6" i="6" s="1"/>
  <c r="BA17" i="6"/>
  <c r="BD17" i="6"/>
  <c r="BE17" i="6" s="1"/>
  <c r="BA11" i="6"/>
  <c r="BD11" i="6"/>
  <c r="BE11" i="6" s="1"/>
  <c r="BA9" i="6"/>
  <c r="BD9" i="6"/>
  <c r="BE9" i="6" s="1"/>
  <c r="BA14" i="6"/>
  <c r="BD14" i="6"/>
  <c r="BE14" i="6" s="1"/>
  <c r="BA23" i="6"/>
  <c r="BD23" i="6"/>
  <c r="BE23" i="6" s="1"/>
  <c r="BA15" i="6"/>
  <c r="BD15" i="6"/>
  <c r="BE15" i="6" s="1"/>
  <c r="BA24" i="6"/>
  <c r="BD24" i="6"/>
  <c r="BE24" i="6" s="1"/>
  <c r="BA20" i="6"/>
  <c r="BD20" i="6"/>
  <c r="BE20" i="6" s="1"/>
  <c r="BA12" i="6"/>
  <c r="BD12" i="6"/>
  <c r="BE12" i="6" s="1"/>
  <c r="BA18" i="6"/>
  <c r="BD18" i="6"/>
  <c r="BE18" i="6" s="1"/>
  <c r="BA25" i="6"/>
  <c r="BD25" i="6"/>
  <c r="BE25" i="6" s="1"/>
  <c r="BA27" i="6"/>
  <c r="BD27" i="6"/>
  <c r="BE27" i="6" s="1"/>
  <c r="BA22" i="6"/>
  <c r="BD22" i="6"/>
  <c r="BE22" i="6" s="1"/>
  <c r="BA13" i="6"/>
  <c r="BD13" i="6"/>
  <c r="BE13" i="6" s="1"/>
  <c r="BA10" i="6"/>
  <c r="BD10" i="6"/>
  <c r="BE10" i="6" s="1"/>
  <c r="BA8" i="6"/>
  <c r="BD8" i="6"/>
  <c r="BE8" i="6" s="1"/>
  <c r="BA21" i="6"/>
  <c r="BD21" i="6"/>
  <c r="BE21" i="6" s="1"/>
  <c r="BA19" i="6"/>
  <c r="BD19" i="6"/>
  <c r="BE19" i="6" s="1"/>
  <c r="BA26" i="6"/>
  <c r="BD26" i="6"/>
  <c r="BE26" i="6" s="1"/>
  <c r="BA16" i="6"/>
  <c r="BD16" i="6"/>
  <c r="BE16" i="6" s="1"/>
  <c r="AN6" i="4"/>
  <c r="AO7" i="4"/>
  <c r="AO6" i="4" s="1"/>
  <c r="J15" i="9"/>
  <c r="J14" i="9"/>
  <c r="J24" i="9"/>
  <c r="J12" i="9"/>
  <c r="J17" i="9"/>
  <c r="J9" i="9"/>
  <c r="J21" i="9"/>
  <c r="J16" i="9"/>
  <c r="J13" i="9"/>
  <c r="J19" i="9"/>
  <c r="J20" i="9"/>
  <c r="J10" i="9"/>
  <c r="J23" i="9"/>
  <c r="J8" i="9"/>
  <c r="J26" i="9"/>
  <c r="J18" i="9"/>
  <c r="J27" i="9"/>
  <c r="J11" i="9"/>
  <c r="J25" i="9"/>
  <c r="J22" i="9"/>
  <c r="J16" i="10"/>
  <c r="J14" i="10"/>
  <c r="J18" i="10"/>
  <c r="J19" i="10"/>
  <c r="J25" i="10"/>
  <c r="J15" i="10"/>
  <c r="J13" i="10"/>
  <c r="J26" i="10"/>
  <c r="J8" i="10"/>
  <c r="J11" i="10"/>
  <c r="J9" i="10"/>
  <c r="J10" i="10"/>
  <c r="J22" i="10"/>
  <c r="J24" i="10"/>
  <c r="J12" i="10"/>
  <c r="J20" i="10"/>
  <c r="J27" i="10"/>
  <c r="J23" i="10"/>
  <c r="J21" i="10"/>
  <c r="J17" i="10"/>
  <c r="J22" i="12"/>
  <c r="J24" i="12"/>
  <c r="J9" i="12"/>
  <c r="J12" i="12"/>
  <c r="J14" i="12"/>
  <c r="J19" i="12"/>
  <c r="J21" i="12"/>
  <c r="J15" i="12"/>
  <c r="J13" i="12"/>
  <c r="J10" i="12"/>
  <c r="J18" i="12"/>
  <c r="J25" i="12"/>
  <c r="J27" i="12"/>
  <c r="J8" i="12"/>
  <c r="J11" i="12"/>
  <c r="J23" i="12"/>
  <c r="J17" i="12"/>
  <c r="J20" i="12"/>
  <c r="J26" i="12"/>
  <c r="J16" i="12"/>
  <c r="AO7" i="11"/>
  <c r="AO6" i="11" s="1"/>
  <c r="AN6" i="11"/>
  <c r="AN6" i="13"/>
  <c r="AO7" i="13"/>
  <c r="AO6" i="13" s="1"/>
  <c r="BE28" i="6" l="1"/>
  <c r="J15" i="7"/>
  <c r="J9" i="7"/>
  <c r="J25" i="7"/>
  <c r="J14" i="7"/>
  <c r="J19" i="7"/>
  <c r="J18" i="7"/>
  <c r="J24" i="7"/>
  <c r="J13" i="7"/>
  <c r="J11" i="7"/>
  <c r="J27" i="7"/>
  <c r="J23" i="7"/>
  <c r="J12" i="7"/>
  <c r="J22" i="7"/>
  <c r="J26" i="7"/>
  <c r="J8" i="7"/>
  <c r="J16" i="7"/>
  <c r="J21" i="7"/>
  <c r="J20" i="7"/>
  <c r="J17" i="7"/>
  <c r="J10" i="7"/>
  <c r="J26" i="8"/>
  <c r="J27" i="8"/>
  <c r="J9" i="8"/>
  <c r="J16" i="8"/>
  <c r="J13" i="8"/>
  <c r="J10" i="8"/>
  <c r="J22" i="8"/>
  <c r="J11" i="8"/>
  <c r="J15" i="8"/>
  <c r="J8" i="8"/>
  <c r="J18" i="8"/>
  <c r="J25" i="8"/>
  <c r="J21" i="8"/>
  <c r="J19" i="8"/>
  <c r="J23" i="8"/>
  <c r="J24" i="8"/>
  <c r="J20" i="8"/>
  <c r="J17" i="8"/>
  <c r="J14" i="8"/>
  <c r="J12" i="8"/>
  <c r="J10" i="6"/>
  <c r="J14" i="6"/>
  <c r="J9" i="6"/>
  <c r="J16" i="6"/>
  <c r="J11" i="6"/>
  <c r="J13" i="6"/>
  <c r="J12" i="6"/>
  <c r="J23" i="6"/>
  <c r="J17" i="6"/>
  <c r="J24" i="6"/>
  <c r="J27" i="6"/>
  <c r="J8" i="6"/>
  <c r="J15" i="6"/>
  <c r="J21" i="6"/>
  <c r="J25" i="6"/>
  <c r="J18" i="6"/>
  <c r="J26" i="6"/>
  <c r="J19" i="6"/>
  <c r="J20" i="6"/>
  <c r="J22" i="6"/>
  <c r="J20" i="4"/>
  <c r="J14" i="4"/>
  <c r="J19" i="4"/>
  <c r="J27" i="4"/>
  <c r="J25" i="4"/>
  <c r="J9" i="4"/>
  <c r="J8" i="4"/>
  <c r="J12" i="4"/>
  <c r="J23" i="4"/>
  <c r="J26" i="4"/>
  <c r="J10" i="4"/>
  <c r="J15" i="4"/>
  <c r="J11" i="4"/>
  <c r="J13" i="4"/>
  <c r="J17" i="4"/>
  <c r="J21" i="4"/>
  <c r="J18" i="4"/>
  <c r="J22" i="4"/>
  <c r="J24" i="4"/>
  <c r="J16" i="4"/>
  <c r="J12" i="11"/>
  <c r="J10" i="11"/>
  <c r="J13" i="11"/>
  <c r="J22" i="11"/>
  <c r="J14" i="11"/>
  <c r="J23" i="11"/>
  <c r="J11" i="11"/>
  <c r="J21" i="11"/>
  <c r="J25" i="11"/>
  <c r="J18" i="11"/>
  <c r="J24" i="11"/>
  <c r="J15" i="11"/>
  <c r="J8" i="11"/>
  <c r="J26" i="11"/>
  <c r="J17" i="11"/>
  <c r="J20" i="11"/>
  <c r="J16" i="11"/>
  <c r="J27" i="11"/>
  <c r="J19" i="11"/>
  <c r="J9" i="11"/>
  <c r="J27" i="13"/>
  <c r="J14" i="13"/>
  <c r="J9" i="13"/>
  <c r="J12" i="13"/>
  <c r="J8" i="13"/>
  <c r="J26" i="13"/>
  <c r="J18" i="13"/>
  <c r="J19" i="13"/>
  <c r="J21" i="13"/>
  <c r="J15" i="13"/>
  <c r="J17" i="13"/>
  <c r="J16" i="13"/>
  <c r="J20" i="13"/>
  <c r="J13" i="13"/>
  <c r="J24" i="13"/>
  <c r="J25" i="13"/>
  <c r="J22" i="13"/>
  <c r="J10" i="13"/>
  <c r="J23" i="13"/>
  <c r="J11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<sst xmlns="http://schemas.openxmlformats.org/spreadsheetml/2006/main" count="8228" uniqueCount="74">
  <si>
    <t>S No</t>
  </si>
  <si>
    <t>Name</t>
  </si>
  <si>
    <t>Employe Id</t>
  </si>
  <si>
    <t>kamlesh</t>
  </si>
  <si>
    <t>meera</t>
  </si>
  <si>
    <t>kishan</t>
  </si>
  <si>
    <t>sujal</t>
  </si>
  <si>
    <t>kanu</t>
  </si>
  <si>
    <t>suresh</t>
  </si>
  <si>
    <t>mehak</t>
  </si>
  <si>
    <t xml:space="preserve">tina </t>
  </si>
  <si>
    <t>sammer</t>
  </si>
  <si>
    <t>akshit</t>
  </si>
  <si>
    <t>salman</t>
  </si>
  <si>
    <t>ram</t>
  </si>
  <si>
    <t>shyam</t>
  </si>
  <si>
    <t>palak</t>
  </si>
  <si>
    <t>manshi</t>
  </si>
  <si>
    <t>rajesh</t>
  </si>
  <si>
    <t>dilip</t>
  </si>
  <si>
    <t>gauri</t>
  </si>
  <si>
    <t>chetna</t>
  </si>
  <si>
    <t>payal</t>
  </si>
  <si>
    <t>to</t>
  </si>
  <si>
    <t>Week off</t>
  </si>
  <si>
    <t>FROM</t>
  </si>
  <si>
    <t>Days</t>
  </si>
  <si>
    <t>Additional information</t>
  </si>
  <si>
    <t>Present</t>
  </si>
  <si>
    <t>Absent</t>
  </si>
  <si>
    <t>Leave</t>
  </si>
  <si>
    <t>Paid Days</t>
  </si>
  <si>
    <t>Salary</t>
  </si>
  <si>
    <t>Per Day Salary</t>
  </si>
  <si>
    <t xml:space="preserve">Deduction </t>
  </si>
  <si>
    <t>Total Salary</t>
  </si>
  <si>
    <t>P</t>
  </si>
  <si>
    <t>Meera</t>
  </si>
  <si>
    <t>Kishan</t>
  </si>
  <si>
    <t>Sujal</t>
  </si>
  <si>
    <t>Kanu</t>
  </si>
  <si>
    <t>Suresh</t>
  </si>
  <si>
    <t>Mehak</t>
  </si>
  <si>
    <t xml:space="preserve">Tina </t>
  </si>
  <si>
    <t>Sammer</t>
  </si>
  <si>
    <t>Akshit</t>
  </si>
  <si>
    <t>Salman</t>
  </si>
  <si>
    <t>Ram</t>
  </si>
  <si>
    <t>Shyam</t>
  </si>
  <si>
    <t>Palak</t>
  </si>
  <si>
    <t>Manshi</t>
  </si>
  <si>
    <t>Rajesh</t>
  </si>
  <si>
    <t>Dilip</t>
  </si>
  <si>
    <t>Gauri</t>
  </si>
  <si>
    <t>Chetna</t>
  </si>
  <si>
    <t>Payal</t>
  </si>
  <si>
    <t>A</t>
  </si>
  <si>
    <t>L</t>
  </si>
  <si>
    <t>WO</t>
  </si>
  <si>
    <t>Kamlesh</t>
  </si>
  <si>
    <t>December</t>
  </si>
  <si>
    <t>November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</si>
  <si>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</si>
  <si>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</si>
  <si>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</si>
  <si>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</si>
  <si>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</si>
  <si>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</si>
  <si>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</si>
  <si>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</si>
  <si>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</si>
  <si>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</si>
  <si>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Month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</si>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</sst>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dd\-mmm\-yyyy"/>
    <numFmt numFmtId="165" formatCode="dd\-mm\-yyyy"/>
    <numFmt numFmtId="166" formatCode="dd"/>
    <numFmt numFmtId="167" formatCode="0.0"/>
    <numFmt numFmtId="168" formatCode="&quot;$&quot;#,##0.00"/>
    <numFmt numFmtId="169" formatCode="mmmm"/>
  </numFmts>
  <fonts count="9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  <charset val="1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0"/>
      <name val="Calibri"/>
      <family val="2"/>
      <charset val="1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54">
    <xf numFmtId="0" fontId="0" fillId="0" borderId="0" xfId="0"/>
    <xf numFmtId="0" fontId="0" fillId="0" borderId="1" xfId="0" applyBorder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6" fontId="0" fillId="5" borderId="0" xfId="0" applyNumberFormat="1" applyFill="1" applyAlignment="1">
      <alignment horizontal="center" vertical="center"/>
    </xf>
    <xf numFmtId="166" fontId="0" fillId="5" borderId="3" xfId="0" applyNumberForma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3" fillId="3" borderId="5" xfId="0" applyFont="1" applyFill="1" applyBorder="1"/>
    <xf numFmtId="0" fontId="3" fillId="4" borderId="5" xfId="0" applyFont="1" applyFill="1" applyBorder="1"/>
    <xf numFmtId="0" fontId="3" fillId="4" borderId="6" xfId="0" applyFont="1" applyFill="1" applyBorder="1"/>
    <xf numFmtId="0" fontId="0" fillId="0" borderId="7" xfId="0" applyBorder="1" applyAlignment="1">
      <alignment horizontal="center" vertical="center"/>
    </xf>
    <xf numFmtId="166" fontId="3" fillId="0" borderId="0" xfId="0" applyNumberFormat="1" applyFont="1"/>
    <xf numFmtId="166" fontId="3" fillId="7" borderId="0" xfId="0" applyNumberFormat="1" applyFont="1" applyFill="1"/>
    <xf numFmtId="0" fontId="6" fillId="7" borderId="0" xfId="0" applyFont="1" applyFill="1" applyAlignment="1">
      <alignment horizontal="center" vertical="center"/>
    </xf>
    <xf numFmtId="0" fontId="0" fillId="0" borderId="8" xfId="0" applyBorder="1"/>
    <xf numFmtId="0" fontId="0" fillId="0" borderId="1" xfId="0" applyBorder="1" applyAlignment="1">
      <alignment horizontal="center" vertical="center" wrapText="1"/>
    </xf>
    <xf numFmtId="0" fontId="3" fillId="0" borderId="0" xfId="0" applyFont="1"/>
    <xf numFmtId="169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0" fontId="6" fillId="6" borderId="1" xfId="0" applyFont="1" applyFill="1" applyBorder="1" applyAlignment="1">
      <alignment horizontal="center" vertical="center"/>
    </xf>
    <xf numFmtId="164" fontId="3" fillId="8" borderId="0" xfId="0" applyNumberFormat="1" applyFont="1" applyFill="1"/>
    <xf numFmtId="0" fontId="0" fillId="0" borderId="1" xfId="0" applyBorder="1" applyAlignment="1">
      <alignment horizontal="center"/>
    </xf>
    <xf numFmtId="0" fontId="7" fillId="8" borderId="0" xfId="0" applyFont="1" applyFill="1"/>
    <xf numFmtId="0" fontId="7" fillId="0" borderId="1" xfId="0" applyFont="1" applyBorder="1" applyAlignment="1">
      <alignment horizontal="center" vertical="center"/>
    </xf>
    <xf numFmtId="1" fontId="0" fillId="0" borderId="1" xfId="0" applyNumberFormat="1" applyBorder="1"/>
    <xf numFmtId="166" fontId="0" fillId="0" borderId="1" xfId="0" applyNumberFormat="1" applyBorder="1"/>
    <xf numFmtId="0" fontId="0" fillId="0" borderId="1" xfId="1" applyNumberFormat="1" applyFont="1" applyBorder="1"/>
    <xf numFmtId="44" fontId="0" fillId="0" borderId="1" xfId="1" applyFont="1" applyBorder="1"/>
    <xf numFmtId="168" fontId="0" fillId="0" borderId="1" xfId="0" applyNumberFormat="1" applyBorder="1"/>
    <xf numFmtId="1" fontId="0" fillId="0" borderId="1" xfId="0" quotePrefix="1" applyNumberFormat="1" applyBorder="1"/>
    <xf numFmtId="167" fontId="0" fillId="0" borderId="1" xfId="0" applyNumberFormat="1" applyBorder="1"/>
    <xf numFmtId="1" fontId="0" fillId="0" borderId="0" xfId="0" applyNumberFormat="1"/>
    <xf numFmtId="166" fontId="3" fillId="7" borderId="1" xfId="0" applyNumberFormat="1" applyFont="1" applyFill="1" applyBorder="1"/>
    <xf numFmtId="0" fontId="0" fillId="0" borderId="11" xfId="0" applyBorder="1" applyAlignment="1">
      <alignment horizontal="center" vertical="center"/>
    </xf>
    <xf numFmtId="44" fontId="0" fillId="0" borderId="12" xfId="0" applyNumberFormat="1" applyBorder="1"/>
    <xf numFmtId="44" fontId="0" fillId="0" borderId="0" xfId="0" applyNumberFormat="1"/>
    <xf numFmtId="0" fontId="0" fillId="0" borderId="13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" fontId="0" fillId="0" borderId="14" xfId="0" applyNumberFormat="1" applyBorder="1"/>
    <xf numFmtId="0" fontId="0" fillId="0" borderId="15" xfId="0" applyBorder="1"/>
    <xf numFmtId="1" fontId="0" fillId="0" borderId="7" xfId="0" applyNumberFormat="1" applyBorder="1"/>
    <xf numFmtId="167" fontId="0" fillId="0" borderId="1" xfId="0" applyNumberFormat="1" applyBorder="1" applyAlignment="1">
      <alignment horizontal="right"/>
    </xf>
    <xf numFmtId="0" fontId="0" fillId="0" borderId="16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5" fillId="3" borderId="10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88"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numFmt numFmtId="34" formatCode="_(&quot;$&quot;* #,##0.00_);_(&quot;$&quot;* \(#,##0.00\);_(&quot;$&quot;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6" formatCode="dd"/>
      <fill>
        <patternFill patternType="solid">
          <fgColor indexed="64"/>
          <bgColor theme="3" tint="0.249977111117893"/>
        </patternFill>
      </fill>
    </dxf>
    <dxf>
      <numFmt numFmtId="34" formatCode="_(&quot;$&quot;* #,##0.00_);_(&quot;$&quot;* \(#,##0.00\);_(&quot;$&quot;* &quot;-&quot;??_);_(@_)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66" formatCode="dd"/>
    </dxf>
    <dxf>
      <numFmt numFmtId="166" formatCode="dd"/>
    </dxf>
    <dxf>
      <numFmt numFmtId="34" formatCode="_(&quot;$&quot;* #,##0.00_);_(&quot;$&quot;* \(#,##0.00\);_(&quot;$&quot;* &quot;-&quot;??_);_(@_)"/>
    </dxf>
    <dxf>
      <numFmt numFmtId="166" formatCode="dd"/>
    </dxf>
    <dxf>
      <numFmt numFmtId="166" formatCode="dd"/>
    </dxf>
    <dxf>
      <numFmt numFmtId="1" formatCode="0"/>
    </dxf>
    <dxf>
      <numFmt numFmtId="1" formatCode="0"/>
    </dxf>
    <dxf>
      <numFmt numFmtId="1" formatCode="0"/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6" formatCode="dd"/>
      <fill>
        <patternFill patternType="solid">
          <fgColor indexed="64"/>
          <bgColor theme="3" tint="0.249977111117893"/>
        </patternFill>
      </fill>
    </dxf>
    <dxf>
      <numFmt numFmtId="34" formatCode="_(&quot;$&quot;* #,##0.00_);_(&quot;$&quot;* \(#,##0.00\);_(&quot;$&quot;* &quot;-&quot;??_);_(@_)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66" formatCode="dd"/>
    </dxf>
    <dxf>
      <numFmt numFmtId="166" formatCode="dd"/>
    </dxf>
    <dxf>
      <numFmt numFmtId="34" formatCode="_(&quot;$&quot;* #,##0.00_);_(&quot;$&quot;* \(#,##0.00\);_(&quot;$&quot;* &quot;-&quot;??_);_(@_)"/>
    </dxf>
    <dxf>
      <numFmt numFmtId="166" formatCode="dd"/>
    </dxf>
    <dxf>
      <numFmt numFmtId="166" formatCode="dd"/>
    </dxf>
    <dxf>
      <numFmt numFmtId="1" formatCode="0"/>
    </dxf>
    <dxf>
      <numFmt numFmtId="1" formatCode="0"/>
    </dxf>
    <dxf>
      <numFmt numFmtId="1" formatCode="0"/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6" formatCode="dd"/>
      <fill>
        <patternFill patternType="solid">
          <fgColor indexed="64"/>
          <bgColor theme="3" tint="0.249977111117893"/>
        </patternFill>
      </fill>
    </dxf>
    <dxf>
      <numFmt numFmtId="34" formatCode="_(&quot;$&quot;* #,##0.00_);_(&quot;$&quot;* \(#,##0.00\);_(&quot;$&quot;* &quot;-&quot;??_);_(@_)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66" formatCode="dd"/>
    </dxf>
    <dxf>
      <numFmt numFmtId="166" formatCode="dd"/>
    </dxf>
    <dxf>
      <numFmt numFmtId="34" formatCode="_(&quot;$&quot;* #,##0.00_);_(&quot;$&quot;* \(#,##0.00\);_(&quot;$&quot;* &quot;-&quot;??_);_(@_)"/>
    </dxf>
    <dxf>
      <numFmt numFmtId="166" formatCode="dd"/>
    </dxf>
    <dxf>
      <numFmt numFmtId="166" formatCode="dd"/>
    </dxf>
    <dxf>
      <numFmt numFmtId="1" formatCode="0"/>
    </dxf>
    <dxf>
      <numFmt numFmtId="1" formatCode="0"/>
    </dxf>
    <dxf>
      <numFmt numFmtId="1" formatCode="0"/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6" formatCode="dd"/>
      <fill>
        <patternFill patternType="solid">
          <fgColor indexed="64"/>
          <bgColor theme="3" tint="0.249977111117893"/>
        </patternFill>
      </fill>
    </dxf>
    <dxf>
      <numFmt numFmtId="34" formatCode="_(&quot;$&quot;* #,##0.00_);_(&quot;$&quot;* \(#,##0.00\);_(&quot;$&quot;* &quot;-&quot;??_);_(@_)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66" formatCode="dd"/>
    </dxf>
    <dxf>
      <numFmt numFmtId="166" formatCode="dd"/>
    </dxf>
    <dxf>
      <numFmt numFmtId="34" formatCode="_(&quot;$&quot;* #,##0.00_);_(&quot;$&quot;* \(#,##0.00\);_(&quot;$&quot;* &quot;-&quot;??_);_(@_)"/>
    </dxf>
    <dxf>
      <numFmt numFmtId="166" formatCode="dd"/>
    </dxf>
    <dxf>
      <numFmt numFmtId="166" formatCode="dd"/>
    </dxf>
    <dxf>
      <numFmt numFmtId="1" formatCode="0"/>
    </dxf>
    <dxf>
      <numFmt numFmtId="1" formatCode="0"/>
    </dxf>
    <dxf>
      <numFmt numFmtId="1" formatCode="0"/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6" formatCode="dd"/>
      <fill>
        <patternFill patternType="solid">
          <fgColor indexed="64"/>
          <bgColor theme="3" tint="0.249977111117893"/>
        </patternFill>
      </fill>
    </dxf>
    <dxf>
      <numFmt numFmtId="34" formatCode="_(&quot;$&quot;* #,##0.00_);_(&quot;$&quot;* \(#,##0.00\);_(&quot;$&quot;* &quot;-&quot;??_);_(@_)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66" formatCode="dd"/>
    </dxf>
    <dxf>
      <numFmt numFmtId="166" formatCode="dd"/>
    </dxf>
    <dxf>
      <numFmt numFmtId="34" formatCode="_(&quot;$&quot;* #,##0.00_);_(&quot;$&quot;* \(#,##0.00\);_(&quot;$&quot;* &quot;-&quot;??_);_(@_)"/>
    </dxf>
    <dxf>
      <numFmt numFmtId="166" formatCode="dd"/>
    </dxf>
    <dxf>
      <numFmt numFmtId="166" formatCode="dd"/>
    </dxf>
    <dxf>
      <numFmt numFmtId="1" formatCode="0"/>
    </dxf>
    <dxf>
      <numFmt numFmtId="1" formatCode="0"/>
    </dxf>
    <dxf>
      <numFmt numFmtId="1" formatCode="0"/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6" formatCode="dd"/>
      <fill>
        <patternFill patternType="solid">
          <fgColor indexed="64"/>
          <bgColor theme="3" tint="0.249977111117893"/>
        </patternFill>
      </fill>
    </dxf>
    <dxf>
      <numFmt numFmtId="34" formatCode="_(&quot;$&quot;* #,##0.00_);_(&quot;$&quot;* \(#,##0.00\);_(&quot;$&quot;* &quot;-&quot;??_);_(@_)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66" formatCode="dd"/>
    </dxf>
    <dxf>
      <numFmt numFmtId="166" formatCode="dd"/>
    </dxf>
    <dxf>
      <numFmt numFmtId="34" formatCode="_(&quot;$&quot;* #,##0.00_);_(&quot;$&quot;* \(#,##0.00\);_(&quot;$&quot;* &quot;-&quot;??_);_(@_)"/>
    </dxf>
    <dxf>
      <numFmt numFmtId="166" formatCode="dd"/>
    </dxf>
    <dxf>
      <numFmt numFmtId="166" formatCode="dd"/>
    </dxf>
    <dxf>
      <numFmt numFmtId="1" formatCode="0"/>
    </dxf>
    <dxf>
      <numFmt numFmtId="1" formatCode="0"/>
    </dxf>
    <dxf>
      <numFmt numFmtId="1" formatCode="0"/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6" formatCode="dd"/>
      <fill>
        <patternFill patternType="solid">
          <fgColor indexed="64"/>
          <bgColor theme="3" tint="0.249977111117893"/>
        </patternFill>
      </fill>
    </dxf>
    <dxf>
      <numFmt numFmtId="34" formatCode="_(&quot;$&quot;* #,##0.00_);_(&quot;$&quot;* \(#,##0.00\);_(&quot;$&quot;* &quot;-&quot;??_);_(@_)"/>
      <border diagonalUp="0" diagonalDown="0" outline="0">
        <left/>
        <right style="thin">
          <color indexed="64"/>
        </right>
        <top/>
        <bottom/>
      </border>
    </dxf>
    <dxf>
      <numFmt numFmtId="34" formatCode="_(&quot;$&quot;* #,##0.00_);_(&quot;$&quot;* \(#,##0.00\);_(&quot;$&quot;* &quot;-&quot;??_);_(@_)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66" formatCode="dd"/>
      <border diagonalUp="0" diagonalDown="0" outline="0">
        <left/>
        <right/>
        <top/>
        <bottom/>
      </border>
    </dxf>
    <dxf>
      <numFmt numFmtId="166" formatCode="dd"/>
    </dxf>
    <dxf>
      <numFmt numFmtId="166" formatCode="dd"/>
      <border diagonalUp="0" diagonalDown="0" outline="0">
        <left/>
        <right/>
        <top/>
        <bottom/>
      </border>
    </dxf>
    <dxf>
      <numFmt numFmtId="166" formatCode="dd"/>
    </dxf>
    <dxf>
      <border diagonalUp="0" diagonalDown="0" outline="0">
        <left/>
        <right/>
        <top/>
        <bottom/>
      </border>
    </dxf>
    <dxf>
      <numFmt numFmtId="34" formatCode="_(&quot;$&quot;* #,##0.00_);_(&quot;$&quot;* \(#,##0.00\);_(&quot;$&quot;* &quot;-&quot;??_);_(@_)"/>
      <border diagonalUp="0" diagonalDown="0" outline="0">
        <left/>
        <right/>
        <top/>
        <bottom/>
      </border>
    </dxf>
    <dxf>
      <numFmt numFmtId="34" formatCode="_(&quot;$&quot;* #,##0.00_);_(&quot;$&quot;* \(#,##0.00\);_(&quot;$&quot;* &quot;-&quot;??_);_(@_)"/>
    </dxf>
    <dxf>
      <numFmt numFmtId="166" formatCode="dd"/>
      <border diagonalUp="0" diagonalDown="0" outline="0">
        <left/>
        <right/>
        <top/>
        <bottom/>
      </border>
    </dxf>
    <dxf>
      <numFmt numFmtId="166" formatCode="dd"/>
    </dxf>
    <dxf>
      <numFmt numFmtId="166" formatCode="dd"/>
      <border diagonalUp="0" diagonalDown="0" outline="0">
        <left/>
        <right/>
        <top/>
        <bottom/>
      </border>
    </dxf>
    <dxf>
      <numFmt numFmtId="166" formatCode="dd"/>
    </dxf>
    <dxf>
      <numFmt numFmtId="1" formatCode="0"/>
      <border diagonalUp="0" diagonalDown="0" outline="0">
        <left/>
        <right/>
        <top/>
        <bottom/>
      </border>
    </dxf>
    <dxf>
      <numFmt numFmtId="1" formatCode="0"/>
    </dxf>
    <dxf>
      <numFmt numFmtId="1" formatCode="0"/>
      <border diagonalUp="0" diagonalDown="0" outline="0">
        <left/>
        <right/>
        <top/>
        <bottom/>
      </border>
    </dxf>
    <dxf>
      <numFmt numFmtId="1" formatCode="0"/>
    </dxf>
    <dxf>
      <numFmt numFmtId="1" formatCode="0"/>
      <border diagonalUp="0" diagonalDown="0" outline="0">
        <left/>
        <right/>
        <top/>
        <bottom/>
      </border>
    </dxf>
    <dxf>
      <numFmt numFmtId="1" formatCode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6" formatCode="dd"/>
      <fill>
        <patternFill patternType="solid">
          <fgColor indexed="64"/>
          <bgColor theme="3" tint="0.249977111117893"/>
        </patternFill>
      </fill>
    </dxf>
    <dxf>
      <numFmt numFmtId="34" formatCode="_(&quot;$&quot;* #,##0.00_);_(&quot;$&quot;* \(#,##0.00\);_(&quot;$&quot;* &quot;-&quot;??_);_(@_)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66" formatCode="dd"/>
    </dxf>
    <dxf>
      <numFmt numFmtId="166" formatCode="dd"/>
    </dxf>
    <dxf>
      <numFmt numFmtId="34" formatCode="_(&quot;$&quot;* #,##0.00_);_(&quot;$&quot;* \(#,##0.00\);_(&quot;$&quot;* &quot;-&quot;??_);_(@_)"/>
    </dxf>
    <dxf>
      <numFmt numFmtId="166" formatCode="dd"/>
    </dxf>
    <dxf>
      <numFmt numFmtId="166" formatCode="dd"/>
    </dxf>
    <dxf>
      <numFmt numFmtId="1" formatCode="0"/>
    </dxf>
    <dxf>
      <numFmt numFmtId="1" formatCode="0"/>
    </dxf>
    <dxf>
      <numFmt numFmtId="1" formatCode="0"/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6" formatCode="dd"/>
      <fill>
        <patternFill patternType="solid">
          <fgColor indexed="64"/>
          <bgColor theme="3" tint="0.249977111117893"/>
        </patternFill>
      </fill>
    </dxf>
    <dxf>
      <numFmt numFmtId="34" formatCode="_(&quot;$&quot;* #,##0.00_);_(&quot;$&quot;* \(#,##0.00\);_(&quot;$&quot;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dd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(&quot;$&quot;* #,##0.00_);_(&quot;$&quot;* \(#,##0.00\);_(&quot;$&quot;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6" formatCode="dd"/>
      <fill>
        <patternFill patternType="solid">
          <fgColor indexed="64"/>
          <bgColor theme="3" tint="0.249977111117893"/>
        </patternFill>
      </fill>
    </dxf>
    <dxf>
      <numFmt numFmtId="34" formatCode="_(&quot;$&quot;* #,##0.00_);_(&quot;$&quot;* \(#,##0.00\);_(&quot;$&quot;* &quot;-&quot;??_);_(@_)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66" formatCode="dd"/>
    </dxf>
    <dxf>
      <numFmt numFmtId="166" formatCode="dd"/>
    </dxf>
    <dxf>
      <numFmt numFmtId="34" formatCode="_(&quot;$&quot;* #,##0.00_);_(&quot;$&quot;* \(#,##0.00\);_(&quot;$&quot;* &quot;-&quot;??_);_(@_)"/>
    </dxf>
    <dxf>
      <numFmt numFmtId="166" formatCode="dd"/>
    </dxf>
    <dxf>
      <numFmt numFmtId="166" formatCode="dd"/>
    </dxf>
    <dxf>
      <numFmt numFmtId="1" formatCode="0"/>
    </dxf>
    <dxf>
      <numFmt numFmtId="1" formatCode="0"/>
    </dxf>
    <dxf>
      <numFmt numFmtId="1" formatCode="0"/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6" formatCode="dd"/>
      <fill>
        <patternFill patternType="solid">
          <fgColor indexed="64"/>
          <bgColor theme="3" tint="0.249977111117893"/>
        </patternFill>
      </fill>
    </dxf>
    <dxf>
      <numFmt numFmtId="34" formatCode="_(&quot;$&quot;* #,##0.00_);_(&quot;$&quot;* \(#,##0.00\);_(&quot;$&quot;* &quot;-&quot;??_);_(@_)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66" formatCode="dd"/>
    </dxf>
    <dxf>
      <numFmt numFmtId="166" formatCode="dd"/>
    </dxf>
    <dxf>
      <numFmt numFmtId="34" formatCode="_(&quot;$&quot;* #,##0.00_);_(&quot;$&quot;* \(#,##0.00\);_(&quot;$&quot;* &quot;-&quot;??_);_(@_)"/>
    </dxf>
    <dxf>
      <numFmt numFmtId="166" formatCode="dd"/>
    </dxf>
    <dxf>
      <numFmt numFmtId="166" formatCode="dd"/>
    </dxf>
    <dxf>
      <numFmt numFmtId="1" formatCode="0"/>
    </dxf>
    <dxf>
      <numFmt numFmtId="1" formatCode="0"/>
    </dxf>
    <dxf>
      <numFmt numFmtId="1" formatCode="0"/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6" formatCode="dd"/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colors>
    <mruColors>
      <color rgb="FF0E3A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august!A1"/><Relationship Id="rId13" Type="http://schemas.openxmlformats.org/officeDocument/2006/relationships/hyperlink" Target="#january!A1"/><Relationship Id="rId3" Type="http://schemas.openxmlformats.org/officeDocument/2006/relationships/hyperlink" Target="#march!A1"/><Relationship Id="rId7" Type="http://schemas.openxmlformats.org/officeDocument/2006/relationships/hyperlink" Target="#july!A1"/><Relationship Id="rId12" Type="http://schemas.openxmlformats.org/officeDocument/2006/relationships/hyperlink" Target="#december!A1"/><Relationship Id="rId2" Type="http://schemas.openxmlformats.org/officeDocument/2006/relationships/hyperlink" Target="#february!A1"/><Relationship Id="rId1" Type="http://schemas.openxmlformats.org/officeDocument/2006/relationships/hyperlink" Target="#Sheet2!A1"/><Relationship Id="rId6" Type="http://schemas.openxmlformats.org/officeDocument/2006/relationships/hyperlink" Target="#june!A1"/><Relationship Id="rId11" Type="http://schemas.openxmlformats.org/officeDocument/2006/relationships/hyperlink" Target="#november!A1"/><Relationship Id="rId5" Type="http://schemas.openxmlformats.org/officeDocument/2006/relationships/hyperlink" Target="#may!A1"/><Relationship Id="rId15" Type="http://schemas.openxmlformats.org/officeDocument/2006/relationships/image" Target="../media/image2.svg"/><Relationship Id="rId10" Type="http://schemas.openxmlformats.org/officeDocument/2006/relationships/hyperlink" Target="#october!A1"/><Relationship Id="rId4" Type="http://schemas.openxmlformats.org/officeDocument/2006/relationships/hyperlink" Target="#april!A1"/><Relationship Id="rId9" Type="http://schemas.openxmlformats.org/officeDocument/2006/relationships/hyperlink" Target="#september!A1"/><Relationship Id="rId1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september!A1"/><Relationship Id="rId13" Type="http://schemas.openxmlformats.org/officeDocument/2006/relationships/image" Target="../media/image1.png"/><Relationship Id="rId3" Type="http://schemas.openxmlformats.org/officeDocument/2006/relationships/hyperlink" Target="#april!A1"/><Relationship Id="rId7" Type="http://schemas.openxmlformats.org/officeDocument/2006/relationships/hyperlink" Target="#august!A1"/><Relationship Id="rId12" Type="http://schemas.openxmlformats.org/officeDocument/2006/relationships/hyperlink" Target="#january!A1"/><Relationship Id="rId2" Type="http://schemas.openxmlformats.org/officeDocument/2006/relationships/hyperlink" Target="#march!A1"/><Relationship Id="rId1" Type="http://schemas.openxmlformats.org/officeDocument/2006/relationships/hyperlink" Target="#february!A1"/><Relationship Id="rId6" Type="http://schemas.openxmlformats.org/officeDocument/2006/relationships/hyperlink" Target="#july!A1"/><Relationship Id="rId11" Type="http://schemas.openxmlformats.org/officeDocument/2006/relationships/hyperlink" Target="#december!A1"/><Relationship Id="rId5" Type="http://schemas.openxmlformats.org/officeDocument/2006/relationships/hyperlink" Target="#june!A1"/><Relationship Id="rId10" Type="http://schemas.openxmlformats.org/officeDocument/2006/relationships/hyperlink" Target="#november!A1"/><Relationship Id="rId4" Type="http://schemas.openxmlformats.org/officeDocument/2006/relationships/hyperlink" Target="#may!A1"/><Relationship Id="rId9" Type="http://schemas.openxmlformats.org/officeDocument/2006/relationships/hyperlink" Target="#october!A1"/><Relationship Id="rId14" Type="http://schemas.openxmlformats.org/officeDocument/2006/relationships/image" Target="../media/image2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september!A1"/><Relationship Id="rId13" Type="http://schemas.openxmlformats.org/officeDocument/2006/relationships/image" Target="../media/image1.png"/><Relationship Id="rId3" Type="http://schemas.openxmlformats.org/officeDocument/2006/relationships/hyperlink" Target="#april!A1"/><Relationship Id="rId7" Type="http://schemas.openxmlformats.org/officeDocument/2006/relationships/hyperlink" Target="#august!A1"/><Relationship Id="rId12" Type="http://schemas.openxmlformats.org/officeDocument/2006/relationships/hyperlink" Target="#january!A1"/><Relationship Id="rId2" Type="http://schemas.openxmlformats.org/officeDocument/2006/relationships/hyperlink" Target="#march!A1"/><Relationship Id="rId1" Type="http://schemas.openxmlformats.org/officeDocument/2006/relationships/hyperlink" Target="#february!A1"/><Relationship Id="rId6" Type="http://schemas.openxmlformats.org/officeDocument/2006/relationships/hyperlink" Target="#july!A1"/><Relationship Id="rId11" Type="http://schemas.openxmlformats.org/officeDocument/2006/relationships/hyperlink" Target="#december!A1"/><Relationship Id="rId5" Type="http://schemas.openxmlformats.org/officeDocument/2006/relationships/hyperlink" Target="#june!A1"/><Relationship Id="rId10" Type="http://schemas.openxmlformats.org/officeDocument/2006/relationships/hyperlink" Target="#november!A1"/><Relationship Id="rId4" Type="http://schemas.openxmlformats.org/officeDocument/2006/relationships/hyperlink" Target="#may!A1"/><Relationship Id="rId9" Type="http://schemas.openxmlformats.org/officeDocument/2006/relationships/hyperlink" Target="#october!A1"/><Relationship Id="rId14" Type="http://schemas.openxmlformats.org/officeDocument/2006/relationships/image" Target="../media/image2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october!A1"/><Relationship Id="rId13" Type="http://schemas.openxmlformats.org/officeDocument/2006/relationships/image" Target="../media/image2.svg"/><Relationship Id="rId3" Type="http://schemas.openxmlformats.org/officeDocument/2006/relationships/hyperlink" Target="#may!A1"/><Relationship Id="rId7" Type="http://schemas.openxmlformats.org/officeDocument/2006/relationships/hyperlink" Target="#september!A1"/><Relationship Id="rId12" Type="http://schemas.openxmlformats.org/officeDocument/2006/relationships/image" Target="../media/image1.png"/><Relationship Id="rId2" Type="http://schemas.openxmlformats.org/officeDocument/2006/relationships/hyperlink" Target="#march!A1"/><Relationship Id="rId1" Type="http://schemas.openxmlformats.org/officeDocument/2006/relationships/hyperlink" Target="#february!A1"/><Relationship Id="rId6" Type="http://schemas.openxmlformats.org/officeDocument/2006/relationships/hyperlink" Target="#august!A1"/><Relationship Id="rId11" Type="http://schemas.openxmlformats.org/officeDocument/2006/relationships/hyperlink" Target="#january!A1"/><Relationship Id="rId5" Type="http://schemas.openxmlformats.org/officeDocument/2006/relationships/hyperlink" Target="#july!A1"/><Relationship Id="rId10" Type="http://schemas.openxmlformats.org/officeDocument/2006/relationships/hyperlink" Target="#december!A1"/><Relationship Id="rId4" Type="http://schemas.openxmlformats.org/officeDocument/2006/relationships/hyperlink" Target="#june!A1"/><Relationship Id="rId9" Type="http://schemas.openxmlformats.org/officeDocument/2006/relationships/hyperlink" Target="#november!A1"/><Relationship Id="rId14" Type="http://schemas.openxmlformats.org/officeDocument/2006/relationships/hyperlink" Target="#april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september!A1"/><Relationship Id="rId13" Type="http://schemas.openxmlformats.org/officeDocument/2006/relationships/image" Target="../media/image1.png"/><Relationship Id="rId3" Type="http://schemas.openxmlformats.org/officeDocument/2006/relationships/hyperlink" Target="#april!A1"/><Relationship Id="rId7" Type="http://schemas.openxmlformats.org/officeDocument/2006/relationships/hyperlink" Target="#august!A1"/><Relationship Id="rId12" Type="http://schemas.openxmlformats.org/officeDocument/2006/relationships/hyperlink" Target="#january!A1"/><Relationship Id="rId2" Type="http://schemas.openxmlformats.org/officeDocument/2006/relationships/hyperlink" Target="#march!A1"/><Relationship Id="rId1" Type="http://schemas.openxmlformats.org/officeDocument/2006/relationships/hyperlink" Target="#february!A1"/><Relationship Id="rId6" Type="http://schemas.openxmlformats.org/officeDocument/2006/relationships/hyperlink" Target="#july!A1"/><Relationship Id="rId11" Type="http://schemas.openxmlformats.org/officeDocument/2006/relationships/hyperlink" Target="#december!A1"/><Relationship Id="rId5" Type="http://schemas.openxmlformats.org/officeDocument/2006/relationships/hyperlink" Target="#june!A1"/><Relationship Id="rId10" Type="http://schemas.openxmlformats.org/officeDocument/2006/relationships/hyperlink" Target="#november!A1"/><Relationship Id="rId4" Type="http://schemas.openxmlformats.org/officeDocument/2006/relationships/hyperlink" Target="#may!A1"/><Relationship Id="rId9" Type="http://schemas.openxmlformats.org/officeDocument/2006/relationships/hyperlink" Target="#october!A1"/><Relationship Id="rId14" Type="http://schemas.openxmlformats.org/officeDocument/2006/relationships/image" Target="../media/image2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september!A1"/><Relationship Id="rId13" Type="http://schemas.openxmlformats.org/officeDocument/2006/relationships/image" Target="../media/image1.png"/><Relationship Id="rId3" Type="http://schemas.openxmlformats.org/officeDocument/2006/relationships/hyperlink" Target="#april!A1"/><Relationship Id="rId7" Type="http://schemas.openxmlformats.org/officeDocument/2006/relationships/hyperlink" Target="#august!A1"/><Relationship Id="rId12" Type="http://schemas.openxmlformats.org/officeDocument/2006/relationships/hyperlink" Target="#january!A1"/><Relationship Id="rId2" Type="http://schemas.openxmlformats.org/officeDocument/2006/relationships/hyperlink" Target="#march!A1"/><Relationship Id="rId1" Type="http://schemas.openxmlformats.org/officeDocument/2006/relationships/hyperlink" Target="#february!A1"/><Relationship Id="rId6" Type="http://schemas.openxmlformats.org/officeDocument/2006/relationships/hyperlink" Target="#july!A1"/><Relationship Id="rId11" Type="http://schemas.openxmlformats.org/officeDocument/2006/relationships/hyperlink" Target="#december!A1"/><Relationship Id="rId5" Type="http://schemas.openxmlformats.org/officeDocument/2006/relationships/hyperlink" Target="#june!A1"/><Relationship Id="rId10" Type="http://schemas.openxmlformats.org/officeDocument/2006/relationships/hyperlink" Target="#november!A1"/><Relationship Id="rId4" Type="http://schemas.openxmlformats.org/officeDocument/2006/relationships/hyperlink" Target="#may!A1"/><Relationship Id="rId9" Type="http://schemas.openxmlformats.org/officeDocument/2006/relationships/hyperlink" Target="#october!A1"/><Relationship Id="rId14" Type="http://schemas.openxmlformats.org/officeDocument/2006/relationships/image" Target="../media/image2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september!A1"/><Relationship Id="rId13" Type="http://schemas.openxmlformats.org/officeDocument/2006/relationships/image" Target="../media/image1.png"/><Relationship Id="rId3" Type="http://schemas.openxmlformats.org/officeDocument/2006/relationships/hyperlink" Target="#april!A1"/><Relationship Id="rId7" Type="http://schemas.openxmlformats.org/officeDocument/2006/relationships/hyperlink" Target="#august!A1"/><Relationship Id="rId12" Type="http://schemas.openxmlformats.org/officeDocument/2006/relationships/hyperlink" Target="#january!A1"/><Relationship Id="rId2" Type="http://schemas.openxmlformats.org/officeDocument/2006/relationships/hyperlink" Target="#march!A1"/><Relationship Id="rId1" Type="http://schemas.openxmlformats.org/officeDocument/2006/relationships/hyperlink" Target="#february!A1"/><Relationship Id="rId6" Type="http://schemas.openxmlformats.org/officeDocument/2006/relationships/hyperlink" Target="#july!A1"/><Relationship Id="rId11" Type="http://schemas.openxmlformats.org/officeDocument/2006/relationships/hyperlink" Target="#december!A1"/><Relationship Id="rId5" Type="http://schemas.openxmlformats.org/officeDocument/2006/relationships/hyperlink" Target="#june!A1"/><Relationship Id="rId10" Type="http://schemas.openxmlformats.org/officeDocument/2006/relationships/hyperlink" Target="#november!A1"/><Relationship Id="rId4" Type="http://schemas.openxmlformats.org/officeDocument/2006/relationships/hyperlink" Target="#may!A1"/><Relationship Id="rId9" Type="http://schemas.openxmlformats.org/officeDocument/2006/relationships/hyperlink" Target="#october!A1"/><Relationship Id="rId14" Type="http://schemas.openxmlformats.org/officeDocument/2006/relationships/image" Target="../media/image2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september!A1"/><Relationship Id="rId13" Type="http://schemas.openxmlformats.org/officeDocument/2006/relationships/image" Target="../media/image1.png"/><Relationship Id="rId3" Type="http://schemas.openxmlformats.org/officeDocument/2006/relationships/hyperlink" Target="#april!A1"/><Relationship Id="rId7" Type="http://schemas.openxmlformats.org/officeDocument/2006/relationships/hyperlink" Target="#august!A1"/><Relationship Id="rId12" Type="http://schemas.openxmlformats.org/officeDocument/2006/relationships/hyperlink" Target="#january!A1"/><Relationship Id="rId2" Type="http://schemas.openxmlformats.org/officeDocument/2006/relationships/hyperlink" Target="#march!A1"/><Relationship Id="rId1" Type="http://schemas.openxmlformats.org/officeDocument/2006/relationships/hyperlink" Target="#february!A1"/><Relationship Id="rId6" Type="http://schemas.openxmlformats.org/officeDocument/2006/relationships/hyperlink" Target="#july!A1"/><Relationship Id="rId11" Type="http://schemas.openxmlformats.org/officeDocument/2006/relationships/hyperlink" Target="#december!A1"/><Relationship Id="rId5" Type="http://schemas.openxmlformats.org/officeDocument/2006/relationships/hyperlink" Target="#june!A1"/><Relationship Id="rId10" Type="http://schemas.openxmlformats.org/officeDocument/2006/relationships/hyperlink" Target="#november!A1"/><Relationship Id="rId4" Type="http://schemas.openxmlformats.org/officeDocument/2006/relationships/hyperlink" Target="#may!A1"/><Relationship Id="rId9" Type="http://schemas.openxmlformats.org/officeDocument/2006/relationships/hyperlink" Target="#october!A1"/><Relationship Id="rId14" Type="http://schemas.openxmlformats.org/officeDocument/2006/relationships/image" Target="../media/image2.sv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september!A1"/><Relationship Id="rId13" Type="http://schemas.openxmlformats.org/officeDocument/2006/relationships/image" Target="../media/image1.png"/><Relationship Id="rId3" Type="http://schemas.openxmlformats.org/officeDocument/2006/relationships/hyperlink" Target="#april!A1"/><Relationship Id="rId7" Type="http://schemas.openxmlformats.org/officeDocument/2006/relationships/hyperlink" Target="#august!A1"/><Relationship Id="rId12" Type="http://schemas.openxmlformats.org/officeDocument/2006/relationships/hyperlink" Target="#january!A1"/><Relationship Id="rId2" Type="http://schemas.openxmlformats.org/officeDocument/2006/relationships/hyperlink" Target="#march!A1"/><Relationship Id="rId1" Type="http://schemas.openxmlformats.org/officeDocument/2006/relationships/hyperlink" Target="#february!A1"/><Relationship Id="rId6" Type="http://schemas.openxmlformats.org/officeDocument/2006/relationships/hyperlink" Target="#july!A1"/><Relationship Id="rId11" Type="http://schemas.openxmlformats.org/officeDocument/2006/relationships/hyperlink" Target="#december!A1"/><Relationship Id="rId5" Type="http://schemas.openxmlformats.org/officeDocument/2006/relationships/hyperlink" Target="#june!A1"/><Relationship Id="rId10" Type="http://schemas.openxmlformats.org/officeDocument/2006/relationships/hyperlink" Target="#november!A1"/><Relationship Id="rId4" Type="http://schemas.openxmlformats.org/officeDocument/2006/relationships/hyperlink" Target="#may!A1"/><Relationship Id="rId9" Type="http://schemas.openxmlformats.org/officeDocument/2006/relationships/hyperlink" Target="#october!A1"/><Relationship Id="rId14" Type="http://schemas.openxmlformats.org/officeDocument/2006/relationships/image" Target="../media/image2.sv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september!A1"/><Relationship Id="rId13" Type="http://schemas.openxmlformats.org/officeDocument/2006/relationships/image" Target="../media/image1.png"/><Relationship Id="rId3" Type="http://schemas.openxmlformats.org/officeDocument/2006/relationships/hyperlink" Target="#april!A1"/><Relationship Id="rId7" Type="http://schemas.openxmlformats.org/officeDocument/2006/relationships/hyperlink" Target="#august!A1"/><Relationship Id="rId12" Type="http://schemas.openxmlformats.org/officeDocument/2006/relationships/hyperlink" Target="#january!A1"/><Relationship Id="rId2" Type="http://schemas.openxmlformats.org/officeDocument/2006/relationships/hyperlink" Target="#march!A1"/><Relationship Id="rId1" Type="http://schemas.openxmlformats.org/officeDocument/2006/relationships/hyperlink" Target="#february!A1"/><Relationship Id="rId6" Type="http://schemas.openxmlformats.org/officeDocument/2006/relationships/hyperlink" Target="#july!A1"/><Relationship Id="rId11" Type="http://schemas.openxmlformats.org/officeDocument/2006/relationships/hyperlink" Target="#december!A1"/><Relationship Id="rId5" Type="http://schemas.openxmlformats.org/officeDocument/2006/relationships/hyperlink" Target="#june!A1"/><Relationship Id="rId10" Type="http://schemas.openxmlformats.org/officeDocument/2006/relationships/hyperlink" Target="#november!A1"/><Relationship Id="rId4" Type="http://schemas.openxmlformats.org/officeDocument/2006/relationships/hyperlink" Target="#may!A1"/><Relationship Id="rId9" Type="http://schemas.openxmlformats.org/officeDocument/2006/relationships/hyperlink" Target="#october!A1"/><Relationship Id="rId14" Type="http://schemas.openxmlformats.org/officeDocument/2006/relationships/image" Target="../media/image2.sv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september!A1"/><Relationship Id="rId13" Type="http://schemas.openxmlformats.org/officeDocument/2006/relationships/image" Target="../media/image2.svg"/><Relationship Id="rId3" Type="http://schemas.openxmlformats.org/officeDocument/2006/relationships/hyperlink" Target="#april!A1"/><Relationship Id="rId7" Type="http://schemas.openxmlformats.org/officeDocument/2006/relationships/hyperlink" Target="#august!A1"/><Relationship Id="rId12" Type="http://schemas.openxmlformats.org/officeDocument/2006/relationships/image" Target="../media/image1.png"/><Relationship Id="rId2" Type="http://schemas.openxmlformats.org/officeDocument/2006/relationships/hyperlink" Target="#march!A1"/><Relationship Id="rId1" Type="http://schemas.openxmlformats.org/officeDocument/2006/relationships/hyperlink" Target="#february!A1"/><Relationship Id="rId6" Type="http://schemas.openxmlformats.org/officeDocument/2006/relationships/hyperlink" Target="#july!A1"/><Relationship Id="rId11" Type="http://schemas.openxmlformats.org/officeDocument/2006/relationships/hyperlink" Target="#january!A1"/><Relationship Id="rId5" Type="http://schemas.openxmlformats.org/officeDocument/2006/relationships/hyperlink" Target="#june!A1"/><Relationship Id="rId10" Type="http://schemas.openxmlformats.org/officeDocument/2006/relationships/hyperlink" Target="#december!A1"/><Relationship Id="rId4" Type="http://schemas.openxmlformats.org/officeDocument/2006/relationships/hyperlink" Target="#may!A1"/><Relationship Id="rId9" Type="http://schemas.openxmlformats.org/officeDocument/2006/relationships/hyperlink" Target="#october!A1"/><Relationship Id="rId14" Type="http://schemas.openxmlformats.org/officeDocument/2006/relationships/hyperlink" Target="#november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september!A1"/><Relationship Id="rId13" Type="http://schemas.openxmlformats.org/officeDocument/2006/relationships/image" Target="../media/image2.svg"/><Relationship Id="rId3" Type="http://schemas.openxmlformats.org/officeDocument/2006/relationships/hyperlink" Target="#april!A1"/><Relationship Id="rId7" Type="http://schemas.openxmlformats.org/officeDocument/2006/relationships/hyperlink" Target="#august!A1"/><Relationship Id="rId12" Type="http://schemas.openxmlformats.org/officeDocument/2006/relationships/image" Target="../media/image1.png"/><Relationship Id="rId2" Type="http://schemas.openxmlformats.org/officeDocument/2006/relationships/hyperlink" Target="#march!A1"/><Relationship Id="rId1" Type="http://schemas.openxmlformats.org/officeDocument/2006/relationships/hyperlink" Target="#february!A1"/><Relationship Id="rId6" Type="http://schemas.openxmlformats.org/officeDocument/2006/relationships/hyperlink" Target="#july!A1"/><Relationship Id="rId11" Type="http://schemas.openxmlformats.org/officeDocument/2006/relationships/hyperlink" Target="#january!A1"/><Relationship Id="rId5" Type="http://schemas.openxmlformats.org/officeDocument/2006/relationships/hyperlink" Target="#june!A1"/><Relationship Id="rId10" Type="http://schemas.openxmlformats.org/officeDocument/2006/relationships/hyperlink" Target="#november!A1"/><Relationship Id="rId4" Type="http://schemas.openxmlformats.org/officeDocument/2006/relationships/hyperlink" Target="#may!A1"/><Relationship Id="rId9" Type="http://schemas.openxmlformats.org/officeDocument/2006/relationships/hyperlink" Target="#october!A1"/><Relationship Id="rId14" Type="http://schemas.openxmlformats.org/officeDocument/2006/relationships/hyperlink" Target="#december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557648</xdr:colOff>
      <xdr:row>0</xdr:row>
      <xdr:rowOff>0</xdr:rowOff>
    </xdr:from>
    <xdr:to>
      <xdr:col>42</xdr:col>
      <xdr:colOff>290286</xdr:colOff>
      <xdr:row>2</xdr:row>
      <xdr:rowOff>156883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59625E2-C24C-A1C6-BF5E-E61747684D50}"/>
            </a:ext>
          </a:extLst>
        </xdr:cNvPr>
        <xdr:cNvSpPr/>
      </xdr:nvSpPr>
      <xdr:spPr>
        <a:xfrm>
          <a:off x="1779267" y="0"/>
          <a:ext cx="14301352" cy="51974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KKKI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590550</xdr:colOff>
      <xdr:row>38</xdr:row>
      <xdr:rowOff>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FC6D756-EC2C-8296-5F86-6EFEDCC81494}"/>
            </a:ext>
          </a:extLst>
        </xdr:cNvPr>
        <xdr:cNvSpPr/>
      </xdr:nvSpPr>
      <xdr:spPr>
        <a:xfrm>
          <a:off x="0" y="0"/>
          <a:ext cx="1809750" cy="723900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127528</xdr:colOff>
      <xdr:row>3</xdr:row>
      <xdr:rowOff>8466</xdr:rowOff>
    </xdr:from>
    <xdr:to>
      <xdr:col>4</xdr:col>
      <xdr:colOff>715</xdr:colOff>
      <xdr:row>5</xdr:row>
      <xdr:rowOff>98424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D251AA-7F19-2266-0076-3CD46E78D328}"/>
            </a:ext>
          </a:extLst>
        </xdr:cNvPr>
        <xdr:cNvSpPr/>
      </xdr:nvSpPr>
      <xdr:spPr>
        <a:xfrm>
          <a:off x="740116" y="568760"/>
          <a:ext cx="1710952" cy="463488"/>
        </a:xfrm>
        <a:prstGeom prst="roundRect">
          <a:avLst/>
        </a:prstGeom>
        <a:solidFill>
          <a:schemeClr val="bg2"/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January</a:t>
          </a:r>
          <a:r>
            <a:rPr lang="en-US" sz="1100"/>
            <a:t> </a:t>
          </a:r>
        </a:p>
      </xdr:txBody>
    </xdr:sp>
    <xdr:clientData/>
  </xdr:twoCellAnchor>
  <xdr:twoCellAnchor>
    <xdr:from>
      <xdr:col>0</xdr:col>
      <xdr:colOff>66146</xdr:colOff>
      <xdr:row>6</xdr:row>
      <xdr:rowOff>10583</xdr:rowOff>
    </xdr:from>
    <xdr:to>
      <xdr:col>2</xdr:col>
      <xdr:colOff>551921</xdr:colOff>
      <xdr:row>8</xdr:row>
      <xdr:rowOff>100541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6D38D2-BD69-4BFA-B31D-8595B30478D1}"/>
            </a:ext>
          </a:extLst>
        </xdr:cNvPr>
        <xdr:cNvSpPr/>
      </xdr:nvSpPr>
      <xdr:spPr>
        <a:xfrm>
          <a:off x="66146" y="1121833"/>
          <a:ext cx="1702858" cy="46037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February</a:t>
          </a:r>
          <a:endParaRPr lang="en-US" sz="1100"/>
        </a:p>
      </xdr:txBody>
    </xdr:sp>
    <xdr:clientData/>
  </xdr:twoCellAnchor>
  <xdr:twoCellAnchor>
    <xdr:from>
      <xdr:col>0</xdr:col>
      <xdr:colOff>68263</xdr:colOff>
      <xdr:row>8</xdr:row>
      <xdr:rowOff>185207</xdr:rowOff>
    </xdr:from>
    <xdr:to>
      <xdr:col>2</xdr:col>
      <xdr:colOff>554038</xdr:colOff>
      <xdr:row>11</xdr:row>
      <xdr:rowOff>95249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2902290-1593-42DC-BF6E-C80BCAE3EA5C}"/>
            </a:ext>
          </a:extLst>
        </xdr:cNvPr>
        <xdr:cNvSpPr/>
      </xdr:nvSpPr>
      <xdr:spPr>
        <a:xfrm>
          <a:off x="68263" y="1666874"/>
          <a:ext cx="1702858" cy="46566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March</a:t>
          </a:r>
          <a:endParaRPr lang="en-US" sz="1100"/>
        </a:p>
      </xdr:txBody>
    </xdr:sp>
    <xdr:clientData/>
  </xdr:twoCellAnchor>
  <xdr:twoCellAnchor>
    <xdr:from>
      <xdr:col>0</xdr:col>
      <xdr:colOff>68263</xdr:colOff>
      <xdr:row>11</xdr:row>
      <xdr:rowOff>147636</xdr:rowOff>
    </xdr:from>
    <xdr:to>
      <xdr:col>2</xdr:col>
      <xdr:colOff>554038</xdr:colOff>
      <xdr:row>14</xdr:row>
      <xdr:rowOff>57678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238DAA5-9879-4C47-954E-9AE7E3384B83}"/>
            </a:ext>
          </a:extLst>
        </xdr:cNvPr>
        <xdr:cNvSpPr/>
      </xdr:nvSpPr>
      <xdr:spPr>
        <a:xfrm>
          <a:off x="68263" y="2184928"/>
          <a:ext cx="1702858" cy="46566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April</a:t>
          </a:r>
          <a:endParaRPr lang="en-US" sz="1100"/>
        </a:p>
      </xdr:txBody>
    </xdr:sp>
    <xdr:clientData/>
  </xdr:twoCellAnchor>
  <xdr:twoCellAnchor>
    <xdr:from>
      <xdr:col>0</xdr:col>
      <xdr:colOff>79375</xdr:colOff>
      <xdr:row>14</xdr:row>
      <xdr:rowOff>129116</xdr:rowOff>
    </xdr:from>
    <xdr:to>
      <xdr:col>2</xdr:col>
      <xdr:colOff>565150</xdr:colOff>
      <xdr:row>17</xdr:row>
      <xdr:rowOff>39158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D530BA7-D3D7-4E77-B4FA-D0910CE5B0E8}"/>
            </a:ext>
          </a:extLst>
        </xdr:cNvPr>
        <xdr:cNvSpPr/>
      </xdr:nvSpPr>
      <xdr:spPr>
        <a:xfrm>
          <a:off x="79375" y="2722033"/>
          <a:ext cx="1702858" cy="46566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May</a:t>
          </a:r>
          <a:endParaRPr lang="en-US" sz="1100"/>
        </a:p>
      </xdr:txBody>
    </xdr:sp>
    <xdr:clientData/>
  </xdr:twoCellAnchor>
  <xdr:twoCellAnchor>
    <xdr:from>
      <xdr:col>0</xdr:col>
      <xdr:colOff>71968</xdr:colOff>
      <xdr:row>17</xdr:row>
      <xdr:rowOff>125411</xdr:rowOff>
    </xdr:from>
    <xdr:to>
      <xdr:col>2</xdr:col>
      <xdr:colOff>557743</xdr:colOff>
      <xdr:row>20</xdr:row>
      <xdr:rowOff>35453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72CD9CC-9829-4CE6-A4D8-AECC434B769F}"/>
            </a:ext>
          </a:extLst>
        </xdr:cNvPr>
        <xdr:cNvSpPr/>
      </xdr:nvSpPr>
      <xdr:spPr>
        <a:xfrm>
          <a:off x="71968" y="3273953"/>
          <a:ext cx="1702858" cy="46566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June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20</xdr:row>
      <xdr:rowOff>114299</xdr:rowOff>
    </xdr:from>
    <xdr:to>
      <xdr:col>2</xdr:col>
      <xdr:colOff>551921</xdr:colOff>
      <xdr:row>23</xdr:row>
      <xdr:rowOff>19049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3D0643F-8E53-4853-9F14-799BAF5C4892}"/>
            </a:ext>
          </a:extLst>
        </xdr:cNvPr>
        <xdr:cNvSpPr/>
      </xdr:nvSpPr>
      <xdr:spPr>
        <a:xfrm>
          <a:off x="66146" y="3818466"/>
          <a:ext cx="1702858" cy="46037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July</a:t>
          </a:r>
          <a:endParaRPr lang="en-US" sz="1100"/>
        </a:p>
      </xdr:txBody>
    </xdr:sp>
    <xdr:clientData/>
  </xdr:twoCellAnchor>
  <xdr:twoCellAnchor>
    <xdr:from>
      <xdr:col>0</xdr:col>
      <xdr:colOff>71967</xdr:colOff>
      <xdr:row>23</xdr:row>
      <xdr:rowOff>86255</xdr:rowOff>
    </xdr:from>
    <xdr:to>
      <xdr:col>2</xdr:col>
      <xdr:colOff>557742</xdr:colOff>
      <xdr:row>25</xdr:row>
      <xdr:rowOff>176214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4CAA854-528C-4C66-A7E1-D73E9C23AF5C}"/>
            </a:ext>
          </a:extLst>
        </xdr:cNvPr>
        <xdr:cNvSpPr/>
      </xdr:nvSpPr>
      <xdr:spPr>
        <a:xfrm>
          <a:off x="71967" y="4346047"/>
          <a:ext cx="1702858" cy="46037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August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26</xdr:row>
      <xdr:rowOff>58888</xdr:rowOff>
    </xdr:from>
    <xdr:to>
      <xdr:col>2</xdr:col>
      <xdr:colOff>551921</xdr:colOff>
      <xdr:row>28</xdr:row>
      <xdr:rowOff>146579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927B583-A522-4034-87E8-21554B78ECCE}"/>
            </a:ext>
          </a:extLst>
        </xdr:cNvPr>
        <xdr:cNvSpPr/>
      </xdr:nvSpPr>
      <xdr:spPr>
        <a:xfrm>
          <a:off x="66146" y="4874305"/>
          <a:ext cx="1702858" cy="45810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Steptember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29</xdr:row>
      <xdr:rowOff>41880</xdr:rowOff>
    </xdr:from>
    <xdr:to>
      <xdr:col>2</xdr:col>
      <xdr:colOff>551921</xdr:colOff>
      <xdr:row>31</xdr:row>
      <xdr:rowOff>129571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9E0E926-FFC6-449E-8653-BEFA316C5446}"/>
            </a:ext>
          </a:extLst>
        </xdr:cNvPr>
        <xdr:cNvSpPr/>
      </xdr:nvSpPr>
      <xdr:spPr>
        <a:xfrm>
          <a:off x="66146" y="5412922"/>
          <a:ext cx="1702858" cy="45810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October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32</xdr:row>
      <xdr:rowOff>8165</xdr:rowOff>
    </xdr:from>
    <xdr:to>
      <xdr:col>2</xdr:col>
      <xdr:colOff>551921</xdr:colOff>
      <xdr:row>34</xdr:row>
      <xdr:rowOff>103415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3CD8988-91EC-4E86-AC0E-94FAC38BFA2E}"/>
            </a:ext>
          </a:extLst>
        </xdr:cNvPr>
        <xdr:cNvSpPr/>
      </xdr:nvSpPr>
      <xdr:spPr>
        <a:xfrm>
          <a:off x="66146" y="5934832"/>
          <a:ext cx="1702858" cy="465666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November</a:t>
          </a:r>
          <a:endParaRPr lang="en-US" sz="1100"/>
        </a:p>
      </xdr:txBody>
    </xdr:sp>
    <xdr:clientData/>
  </xdr:twoCellAnchor>
  <xdr:twoCellAnchor>
    <xdr:from>
      <xdr:col>0</xdr:col>
      <xdr:colOff>79376</xdr:colOff>
      <xdr:row>34</xdr:row>
      <xdr:rowOff>183773</xdr:rowOff>
    </xdr:from>
    <xdr:to>
      <xdr:col>2</xdr:col>
      <xdr:colOff>565151</xdr:colOff>
      <xdr:row>37</xdr:row>
      <xdr:rowOff>93814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B4220B5-C3F8-46A1-A1D6-5200B6D7CC15}"/>
            </a:ext>
          </a:extLst>
        </xdr:cNvPr>
        <xdr:cNvSpPr/>
      </xdr:nvSpPr>
      <xdr:spPr>
        <a:xfrm>
          <a:off x="79376" y="6480856"/>
          <a:ext cx="1702858" cy="465666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December</a:t>
          </a:r>
          <a:endParaRPr lang="en-US" sz="1100"/>
        </a:p>
      </xdr:txBody>
    </xdr:sp>
    <xdr:clientData/>
  </xdr:twoCellAnchor>
  <xdr:twoCellAnchor>
    <xdr:from>
      <xdr:col>42</xdr:col>
      <xdr:colOff>597648</xdr:colOff>
      <xdr:row>0</xdr:row>
      <xdr:rowOff>0</xdr:rowOff>
    </xdr:from>
    <xdr:to>
      <xdr:col>57</xdr:col>
      <xdr:colOff>14942</xdr:colOff>
      <xdr:row>2</xdr:row>
      <xdr:rowOff>171824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7DBBA4A-0C92-6DC7-142B-80CFEB0EE9C3}"/>
            </a:ext>
          </a:extLst>
        </xdr:cNvPr>
        <xdr:cNvSpPr/>
      </xdr:nvSpPr>
      <xdr:spPr>
        <a:xfrm>
          <a:off x="16412883" y="0"/>
          <a:ext cx="8763000" cy="54535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chemeClr val="bg1"/>
              </a:solidFill>
            </a:rPr>
            <a:t>Monthly</a:t>
          </a:r>
          <a:r>
            <a:rPr lang="en-US" sz="2800" b="1" baseline="0">
              <a:solidFill>
                <a:schemeClr val="bg1"/>
              </a:solidFill>
            </a:rPr>
            <a:t> Report</a:t>
          </a:r>
          <a:endParaRPr lang="en-US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528632</xdr:colOff>
      <xdr:row>0</xdr:row>
      <xdr:rowOff>145304</xdr:rowOff>
    </xdr:from>
    <xdr:to>
      <xdr:col>4</xdr:col>
      <xdr:colOff>506218</xdr:colOff>
      <xdr:row>2</xdr:row>
      <xdr:rowOff>69134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0B06D98-EDDF-13BC-C90A-4B59729403B0}"/>
            </a:ext>
          </a:extLst>
        </xdr:cNvPr>
        <xdr:cNvSpPr/>
      </xdr:nvSpPr>
      <xdr:spPr>
        <a:xfrm>
          <a:off x="1740017" y="145304"/>
          <a:ext cx="1188970" cy="295061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FROM</a:t>
          </a:r>
        </a:p>
      </xdr:txBody>
    </xdr:sp>
    <xdr:clientData/>
  </xdr:twoCellAnchor>
  <xdr:twoCellAnchor>
    <xdr:from>
      <xdr:col>7</xdr:col>
      <xdr:colOff>83384</xdr:colOff>
      <xdr:row>0</xdr:row>
      <xdr:rowOff>140822</xdr:rowOff>
    </xdr:from>
    <xdr:to>
      <xdr:col>8</xdr:col>
      <xdr:colOff>471853</xdr:colOff>
      <xdr:row>2</xdr:row>
      <xdr:rowOff>64652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FDA4C96C-92A5-4D6E-9AA4-6F1BAF62A372}"/>
            </a:ext>
          </a:extLst>
        </xdr:cNvPr>
        <xdr:cNvSpPr/>
      </xdr:nvSpPr>
      <xdr:spPr>
        <a:xfrm>
          <a:off x="4577230" y="140822"/>
          <a:ext cx="1199315" cy="295061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TO</a:t>
          </a:r>
        </a:p>
        <a:p>
          <a:pPr marL="0" indent="0" algn="ctr"/>
          <a:endParaRPr lang="en-US" sz="16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494264</xdr:colOff>
      <xdr:row>0</xdr:row>
      <xdr:rowOff>148292</xdr:rowOff>
    </xdr:from>
    <xdr:to>
      <xdr:col>6</xdr:col>
      <xdr:colOff>471851</xdr:colOff>
      <xdr:row>2</xdr:row>
      <xdr:rowOff>72122</xdr:rowOff>
    </xdr:to>
    <xdr:sp macro="" textlink="$G$5">
      <xdr:nvSpPr>
        <xdr:cNvPr id="17" name="Rectangle 16">
          <a:extLst>
            <a:ext uri="{FF2B5EF4-FFF2-40B4-BE49-F238E27FC236}">
              <a16:creationId xmlns:a16="http://schemas.microsoft.com/office/drawing/2014/main" id="{846FABF4-8990-4654-B9CC-80F701749273}"/>
            </a:ext>
          </a:extLst>
        </xdr:cNvPr>
        <xdr:cNvSpPr/>
      </xdr:nvSpPr>
      <xdr:spPr>
        <a:xfrm>
          <a:off x="2917033" y="148292"/>
          <a:ext cx="1188972" cy="29506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1BAFFE97-76C2-4FA9-8172-754635694528}" type="TxLink">
            <a:rPr lang="en-US" sz="1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pPr algn="ctr"/>
            <a:t>01-Jan-2025</a:t>
          </a:fld>
          <a:endParaRPr lang="en-US" sz="1400"/>
        </a:p>
      </xdr:txBody>
    </xdr:sp>
    <xdr:clientData/>
  </xdr:twoCellAnchor>
  <xdr:twoCellAnchor>
    <xdr:from>
      <xdr:col>8</xdr:col>
      <xdr:colOff>490329</xdr:colOff>
      <xdr:row>0</xdr:row>
      <xdr:rowOff>134874</xdr:rowOff>
    </xdr:from>
    <xdr:to>
      <xdr:col>11</xdr:col>
      <xdr:colOff>19680</xdr:colOff>
      <xdr:row>2</xdr:row>
      <xdr:rowOff>58704</xdr:rowOff>
    </xdr:to>
    <xdr:sp macro="" textlink="$M$5">
      <xdr:nvSpPr>
        <xdr:cNvPr id="23" name="Rectangle 22">
          <a:extLst>
            <a:ext uri="{FF2B5EF4-FFF2-40B4-BE49-F238E27FC236}">
              <a16:creationId xmlns:a16="http://schemas.microsoft.com/office/drawing/2014/main" id="{B009257F-FB16-4551-A189-32EF9B26053D}"/>
            </a:ext>
          </a:extLst>
        </xdr:cNvPr>
        <xdr:cNvSpPr/>
      </xdr:nvSpPr>
      <xdr:spPr>
        <a:xfrm>
          <a:off x="5795021" y="134874"/>
          <a:ext cx="1190121" cy="29506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F18C7413-8E99-44FA-A55E-E2450FCA2E79}" type="TxLink">
            <a:rPr lang="en-US" sz="1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pPr algn="ctr"/>
            <a:t>31-Jan-2025</a:t>
          </a:fld>
          <a:endParaRPr lang="en-US" sz="1400"/>
        </a:p>
      </xdr:txBody>
    </xdr:sp>
    <xdr:clientData/>
  </xdr:twoCellAnchor>
  <xdr:twoCellAnchor>
    <xdr:from>
      <xdr:col>12</xdr:col>
      <xdr:colOff>179523</xdr:colOff>
      <xdr:row>0</xdr:row>
      <xdr:rowOff>87923</xdr:rowOff>
    </xdr:from>
    <xdr:to>
      <xdr:col>24</xdr:col>
      <xdr:colOff>163706</xdr:colOff>
      <xdr:row>2</xdr:row>
      <xdr:rowOff>113489</xdr:rowOff>
    </xdr:to>
    <xdr:sp macro="" textlink="$M$5">
      <xdr:nvSpPr>
        <xdr:cNvPr id="24" name="Rectangle 23">
          <a:extLst>
            <a:ext uri="{FF2B5EF4-FFF2-40B4-BE49-F238E27FC236}">
              <a16:creationId xmlns:a16="http://schemas.microsoft.com/office/drawing/2014/main" id="{43B7B74D-964B-4282-BB13-24CE3433F331}"/>
            </a:ext>
          </a:extLst>
        </xdr:cNvPr>
        <xdr:cNvSpPr/>
      </xdr:nvSpPr>
      <xdr:spPr>
        <a:xfrm>
          <a:off x="7486372" y="87923"/>
          <a:ext cx="3272266" cy="390908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Dashboard</a:t>
          </a:r>
          <a:r>
            <a:rPr lang="en-US" sz="2400" baseline="0"/>
            <a:t> For Month    f </a:t>
          </a:r>
          <a:endParaRPr lang="en-US" sz="2400"/>
        </a:p>
      </xdr:txBody>
    </xdr:sp>
    <xdr:clientData/>
  </xdr:twoCellAnchor>
  <xdr:twoCellAnchor>
    <xdr:from>
      <xdr:col>24</xdr:col>
      <xdr:colOff>26179</xdr:colOff>
      <xdr:row>0</xdr:row>
      <xdr:rowOff>86591</xdr:rowOff>
    </xdr:from>
    <xdr:to>
      <xdr:col>29</xdr:col>
      <xdr:colOff>170470</xdr:colOff>
      <xdr:row>2</xdr:row>
      <xdr:rowOff>115067</xdr:rowOff>
    </xdr:to>
    <xdr:sp macro="" textlink="$I$4">
      <xdr:nvSpPr>
        <xdr:cNvPr id="25" name="Rectangle 24">
          <a:extLst>
            <a:ext uri="{FF2B5EF4-FFF2-40B4-BE49-F238E27FC236}">
              <a16:creationId xmlns:a16="http://schemas.microsoft.com/office/drawing/2014/main" id="{27B84433-5DA4-A555-EB18-9106AC6F27F8}"/>
            </a:ext>
          </a:extLst>
        </xdr:cNvPr>
        <xdr:cNvSpPr/>
      </xdr:nvSpPr>
      <xdr:spPr>
        <a:xfrm flipH="1">
          <a:off x="10586783" y="86591"/>
          <a:ext cx="1529358" cy="394986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7CCC7E4-D351-43A5-B697-CE8115FFBC59}" type="TxLink">
            <a:rPr lang="en-US" sz="2400" b="0" i="0" u="none" strike="noStrike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Narrow"/>
            </a:rPr>
            <a:pPr algn="l"/>
            <a:t>January</a:t>
          </a:fld>
          <a:endParaRPr lang="en-US" sz="2400" b="0" cap="none" spc="0">
            <a:ln w="0"/>
            <a:solidFill>
              <a:schemeClr val="accent2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</xdr:col>
      <xdr:colOff>126622</xdr:colOff>
      <xdr:row>3</xdr:row>
      <xdr:rowOff>21166</xdr:rowOff>
    </xdr:from>
    <xdr:to>
      <xdr:col>4</xdr:col>
      <xdr:colOff>1588</xdr:colOff>
      <xdr:row>5</xdr:row>
      <xdr:rowOff>86934</xdr:rowOff>
    </xdr:to>
    <xdr:sp macro="" textlink="">
      <xdr:nvSpPr>
        <xdr:cNvPr id="18" name="Rectangle: Rounded Corners 1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AF38F3D-15C9-4157-B863-04C4CD64B7FD}"/>
            </a:ext>
          </a:extLst>
        </xdr:cNvPr>
        <xdr:cNvSpPr/>
      </xdr:nvSpPr>
      <xdr:spPr>
        <a:xfrm>
          <a:off x="737432" y="565452"/>
          <a:ext cx="1707394" cy="440720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bg1"/>
          </a:solidFill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January</a:t>
          </a:r>
          <a:endParaRPr lang="en-US" sz="1100"/>
        </a:p>
      </xdr:txBody>
    </xdr:sp>
    <xdr:clientData/>
  </xdr:twoCellAnchor>
  <xdr:twoCellAnchor editAs="oneCell">
    <xdr:from>
      <xdr:col>22</xdr:col>
      <xdr:colOff>119854</xdr:colOff>
      <xdr:row>1</xdr:row>
      <xdr:rowOff>84668</xdr:rowOff>
    </xdr:from>
    <xdr:to>
      <xdr:col>23</xdr:col>
      <xdr:colOff>71471</xdr:colOff>
      <xdr:row>2</xdr:row>
      <xdr:rowOff>114905</xdr:rowOff>
    </xdr:to>
    <xdr:pic>
      <xdr:nvPicPr>
        <xdr:cNvPr id="21" name="Graphic 20" descr="Magnifying glass with solid fill">
          <a:extLst>
            <a:ext uri="{FF2B5EF4-FFF2-40B4-BE49-F238E27FC236}">
              <a16:creationId xmlns:a16="http://schemas.microsoft.com/office/drawing/2014/main" id="{64BC5D52-8A18-908A-4C94-DB617DE41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 rot="5400000">
          <a:off x="10237657" y="271183"/>
          <a:ext cx="214965" cy="211390"/>
        </a:xfrm>
        <a:prstGeom prst="rect">
          <a:avLst/>
        </a:prstGeom>
      </xdr:spPr>
    </xdr:pic>
    <xdr:clientData/>
  </xdr:twoCellAnchor>
  <xdr:twoCellAnchor>
    <xdr:from>
      <xdr:col>30</xdr:col>
      <xdr:colOff>18141</xdr:colOff>
      <xdr:row>0</xdr:row>
      <xdr:rowOff>66525</xdr:rowOff>
    </xdr:from>
    <xdr:to>
      <xdr:col>32</xdr:col>
      <xdr:colOff>84666</xdr:colOff>
      <xdr:row>2</xdr:row>
      <xdr:rowOff>54429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AC6BB6CE-C157-CB4D-6A82-237CD8A7BAE7}"/>
            </a:ext>
          </a:extLst>
        </xdr:cNvPr>
        <xdr:cNvSpPr/>
      </xdr:nvSpPr>
      <xdr:spPr>
        <a:xfrm>
          <a:off x="12240379" y="66525"/>
          <a:ext cx="514049" cy="35076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🟢</a:t>
          </a:r>
        </a:p>
      </xdr:txBody>
    </xdr:sp>
    <xdr:clientData/>
  </xdr:twoCellAnchor>
  <xdr:twoCellAnchor>
    <xdr:from>
      <xdr:col>35</xdr:col>
      <xdr:colOff>72574</xdr:colOff>
      <xdr:row>0</xdr:row>
      <xdr:rowOff>84668</xdr:rowOff>
    </xdr:from>
    <xdr:to>
      <xdr:col>38</xdr:col>
      <xdr:colOff>223764</xdr:colOff>
      <xdr:row>2</xdr:row>
      <xdr:rowOff>48382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AE50C32-8488-4C3A-A77F-BB1B111E6BA3}"/>
            </a:ext>
          </a:extLst>
        </xdr:cNvPr>
        <xdr:cNvSpPr/>
      </xdr:nvSpPr>
      <xdr:spPr>
        <a:xfrm>
          <a:off x="13576907" y="84668"/>
          <a:ext cx="925286" cy="326571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ABSENT</a:t>
          </a:r>
        </a:p>
      </xdr:txBody>
    </xdr:sp>
    <xdr:clientData/>
  </xdr:twoCellAnchor>
  <xdr:twoCellAnchor>
    <xdr:from>
      <xdr:col>34</xdr:col>
      <xdr:colOff>85877</xdr:colOff>
      <xdr:row>0</xdr:row>
      <xdr:rowOff>61685</xdr:rowOff>
    </xdr:from>
    <xdr:to>
      <xdr:col>35</xdr:col>
      <xdr:colOff>266096</xdr:colOff>
      <xdr:row>2</xdr:row>
      <xdr:rowOff>42333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41BEA353-75BB-4454-B7F2-A717CC247392}"/>
            </a:ext>
          </a:extLst>
        </xdr:cNvPr>
        <xdr:cNvSpPr/>
      </xdr:nvSpPr>
      <xdr:spPr>
        <a:xfrm>
          <a:off x="13330163" y="61685"/>
          <a:ext cx="440266" cy="34350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US" sz="1100"/>
            <a:t>🔴</a:t>
          </a:r>
        </a:p>
      </xdr:txBody>
    </xdr:sp>
    <xdr:clientData/>
  </xdr:twoCellAnchor>
  <xdr:twoCellAnchor>
    <xdr:from>
      <xdr:col>31</xdr:col>
      <xdr:colOff>181429</xdr:colOff>
      <xdr:row>0</xdr:row>
      <xdr:rowOff>127001</xdr:rowOff>
    </xdr:from>
    <xdr:to>
      <xdr:col>34</xdr:col>
      <xdr:colOff>127000</xdr:colOff>
      <xdr:row>2</xdr:row>
      <xdr:rowOff>24191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DB14DCAA-B6C2-DCB7-6CA3-16AEA21BFCE8}"/>
            </a:ext>
          </a:extLst>
        </xdr:cNvPr>
        <xdr:cNvSpPr/>
      </xdr:nvSpPr>
      <xdr:spPr>
        <a:xfrm>
          <a:off x="12609286" y="127001"/>
          <a:ext cx="762000" cy="26004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PRESENT</a:t>
          </a:r>
        </a:p>
      </xdr:txBody>
    </xdr:sp>
    <xdr:clientData/>
  </xdr:twoCellAnchor>
  <xdr:twoCellAnchor>
    <xdr:from>
      <xdr:col>40</xdr:col>
      <xdr:colOff>96764</xdr:colOff>
      <xdr:row>0</xdr:row>
      <xdr:rowOff>60477</xdr:rowOff>
    </xdr:from>
    <xdr:to>
      <xdr:col>42</xdr:col>
      <xdr:colOff>42334</xdr:colOff>
      <xdr:row>2</xdr:row>
      <xdr:rowOff>60476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7C92B66E-D2EE-406C-A0E5-3599DD18B9BB}"/>
            </a:ext>
          </a:extLst>
        </xdr:cNvPr>
        <xdr:cNvSpPr/>
      </xdr:nvSpPr>
      <xdr:spPr>
        <a:xfrm>
          <a:off x="14919478" y="60477"/>
          <a:ext cx="913189" cy="36285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LEAVE</a:t>
          </a:r>
        </a:p>
      </xdr:txBody>
    </xdr:sp>
    <xdr:clientData/>
  </xdr:twoCellAnchor>
  <xdr:twoCellAnchor>
    <xdr:from>
      <xdr:col>39</xdr:col>
      <xdr:colOff>99180</xdr:colOff>
      <xdr:row>0</xdr:row>
      <xdr:rowOff>50801</xdr:rowOff>
    </xdr:from>
    <xdr:to>
      <xdr:col>40</xdr:col>
      <xdr:colOff>302381</xdr:colOff>
      <xdr:row>2</xdr:row>
      <xdr:rowOff>60477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92847A92-DA05-4DE9-9FDB-E3AEBCCC7407}"/>
            </a:ext>
          </a:extLst>
        </xdr:cNvPr>
        <xdr:cNvSpPr/>
      </xdr:nvSpPr>
      <xdr:spPr>
        <a:xfrm>
          <a:off x="14631609" y="50801"/>
          <a:ext cx="493486" cy="37253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39</xdr:col>
      <xdr:colOff>247954</xdr:colOff>
      <xdr:row>0</xdr:row>
      <xdr:rowOff>60477</xdr:rowOff>
    </xdr:from>
    <xdr:to>
      <xdr:col>41</xdr:col>
      <xdr:colOff>514048</xdr:colOff>
      <xdr:row>2</xdr:row>
      <xdr:rowOff>60476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17982ED-38AB-3091-9C3B-91E162231FA2}"/>
            </a:ext>
          </a:extLst>
        </xdr:cNvPr>
        <xdr:cNvSpPr/>
      </xdr:nvSpPr>
      <xdr:spPr>
        <a:xfrm>
          <a:off x="14780383" y="60477"/>
          <a:ext cx="913189" cy="36285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LEAVE</a:t>
          </a:r>
        </a:p>
      </xdr:txBody>
    </xdr:sp>
    <xdr:clientData/>
  </xdr:twoCellAnchor>
  <xdr:twoCellAnchor>
    <xdr:from>
      <xdr:col>38</xdr:col>
      <xdr:colOff>214085</xdr:colOff>
      <xdr:row>0</xdr:row>
      <xdr:rowOff>50801</xdr:rowOff>
    </xdr:from>
    <xdr:to>
      <xdr:col>40</xdr:col>
      <xdr:colOff>163286</xdr:colOff>
      <xdr:row>2</xdr:row>
      <xdr:rowOff>60477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2345D267-0021-B95B-FB47-C57E8744B49B}"/>
            </a:ext>
          </a:extLst>
        </xdr:cNvPr>
        <xdr:cNvSpPr/>
      </xdr:nvSpPr>
      <xdr:spPr>
        <a:xfrm>
          <a:off x="14492514" y="50801"/>
          <a:ext cx="493486" cy="37253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557648</xdr:colOff>
      <xdr:row>0</xdr:row>
      <xdr:rowOff>0</xdr:rowOff>
    </xdr:from>
    <xdr:to>
      <xdr:col>42</xdr:col>
      <xdr:colOff>290286</xdr:colOff>
      <xdr:row>2</xdr:row>
      <xdr:rowOff>156883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35A3B94-6D64-446E-A772-E787FC75BFAB}"/>
            </a:ext>
          </a:extLst>
        </xdr:cNvPr>
        <xdr:cNvSpPr/>
      </xdr:nvSpPr>
      <xdr:spPr>
        <a:xfrm>
          <a:off x="1776848" y="0"/>
          <a:ext cx="14305888" cy="5251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KKKI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590550</xdr:colOff>
      <xdr:row>38</xdr:row>
      <xdr:rowOff>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1F30017-E7EB-4052-9D10-19BDEBA77CD6}"/>
            </a:ext>
          </a:extLst>
        </xdr:cNvPr>
        <xdr:cNvSpPr/>
      </xdr:nvSpPr>
      <xdr:spPr>
        <a:xfrm>
          <a:off x="0" y="0"/>
          <a:ext cx="1809750" cy="703580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101423</xdr:colOff>
      <xdr:row>6</xdr:row>
      <xdr:rowOff>10583</xdr:rowOff>
    </xdr:from>
    <xdr:to>
      <xdr:col>3</xdr:col>
      <xdr:colOff>587199</xdr:colOff>
      <xdr:row>8</xdr:row>
      <xdr:rowOff>100541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79727F-58CF-4F8D-B84F-B947910D6BAA}"/>
            </a:ext>
          </a:extLst>
        </xdr:cNvPr>
        <xdr:cNvSpPr/>
      </xdr:nvSpPr>
      <xdr:spPr>
        <a:xfrm>
          <a:off x="708201" y="1146527"/>
          <a:ext cx="1699331" cy="442736"/>
        </a:xfrm>
        <a:prstGeom prst="roundRect">
          <a:avLst/>
        </a:prstGeom>
        <a:solidFill>
          <a:schemeClr val="bg2"/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February</a:t>
          </a:r>
          <a:endParaRPr lang="en-US" sz="1100"/>
        </a:p>
      </xdr:txBody>
    </xdr:sp>
    <xdr:clientData/>
  </xdr:twoCellAnchor>
  <xdr:twoCellAnchor>
    <xdr:from>
      <xdr:col>0</xdr:col>
      <xdr:colOff>68263</xdr:colOff>
      <xdr:row>8</xdr:row>
      <xdr:rowOff>185207</xdr:rowOff>
    </xdr:from>
    <xdr:to>
      <xdr:col>2</xdr:col>
      <xdr:colOff>554038</xdr:colOff>
      <xdr:row>11</xdr:row>
      <xdr:rowOff>95249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C14B1B-8BA6-4BF9-B3A0-9619FF6AA2D7}"/>
            </a:ext>
          </a:extLst>
        </xdr:cNvPr>
        <xdr:cNvSpPr/>
      </xdr:nvSpPr>
      <xdr:spPr>
        <a:xfrm>
          <a:off x="68263" y="1677457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March</a:t>
          </a:r>
          <a:endParaRPr lang="en-US" sz="1100"/>
        </a:p>
      </xdr:txBody>
    </xdr:sp>
    <xdr:clientData/>
  </xdr:twoCellAnchor>
  <xdr:twoCellAnchor>
    <xdr:from>
      <xdr:col>0</xdr:col>
      <xdr:colOff>68263</xdr:colOff>
      <xdr:row>11</xdr:row>
      <xdr:rowOff>147636</xdr:rowOff>
    </xdr:from>
    <xdr:to>
      <xdr:col>2</xdr:col>
      <xdr:colOff>554038</xdr:colOff>
      <xdr:row>14</xdr:row>
      <xdr:rowOff>57678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E5FA7D2-C27A-4123-B94F-0CDE65C83BCD}"/>
            </a:ext>
          </a:extLst>
        </xdr:cNvPr>
        <xdr:cNvSpPr/>
      </xdr:nvSpPr>
      <xdr:spPr>
        <a:xfrm>
          <a:off x="68263" y="2192336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April</a:t>
          </a:r>
          <a:endParaRPr lang="en-US" sz="1100"/>
        </a:p>
      </xdr:txBody>
    </xdr:sp>
    <xdr:clientData/>
  </xdr:twoCellAnchor>
  <xdr:twoCellAnchor>
    <xdr:from>
      <xdr:col>0</xdr:col>
      <xdr:colOff>79375</xdr:colOff>
      <xdr:row>14</xdr:row>
      <xdr:rowOff>129116</xdr:rowOff>
    </xdr:from>
    <xdr:to>
      <xdr:col>2</xdr:col>
      <xdr:colOff>565150</xdr:colOff>
      <xdr:row>17</xdr:row>
      <xdr:rowOff>39158</xdr:rowOff>
    </xdr:to>
    <xdr:sp macro="" textlink="">
      <xdr:nvSpPr>
        <xdr:cNvPr id="8" name="Rectangle: Rounded Corner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393845-3AD7-4C53-AF04-B6513109D470}"/>
            </a:ext>
          </a:extLst>
        </xdr:cNvPr>
        <xdr:cNvSpPr/>
      </xdr:nvSpPr>
      <xdr:spPr>
        <a:xfrm>
          <a:off x="79375" y="2726266"/>
          <a:ext cx="1704975" cy="4751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May</a:t>
          </a:r>
          <a:endParaRPr lang="en-US" sz="1100"/>
        </a:p>
      </xdr:txBody>
    </xdr:sp>
    <xdr:clientData/>
  </xdr:twoCellAnchor>
  <xdr:twoCellAnchor>
    <xdr:from>
      <xdr:col>0</xdr:col>
      <xdr:colOff>71968</xdr:colOff>
      <xdr:row>17</xdr:row>
      <xdr:rowOff>125411</xdr:rowOff>
    </xdr:from>
    <xdr:to>
      <xdr:col>2</xdr:col>
      <xdr:colOff>557743</xdr:colOff>
      <xdr:row>20</xdr:row>
      <xdr:rowOff>35453</xdr:rowOff>
    </xdr:to>
    <xdr:sp macro="" textlink="">
      <xdr:nvSpPr>
        <xdr:cNvPr id="9" name="Rectangle: Rounded Corner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20A6BD3-750F-4237-BCF4-EA152A378401}"/>
            </a:ext>
          </a:extLst>
        </xdr:cNvPr>
        <xdr:cNvSpPr/>
      </xdr:nvSpPr>
      <xdr:spPr>
        <a:xfrm>
          <a:off x="71968" y="3287711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June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20</xdr:row>
      <xdr:rowOff>114299</xdr:rowOff>
    </xdr:from>
    <xdr:to>
      <xdr:col>2</xdr:col>
      <xdr:colOff>551921</xdr:colOff>
      <xdr:row>23</xdr:row>
      <xdr:rowOff>19049</xdr:rowOff>
    </xdr:to>
    <xdr:sp macro="" textlink="">
      <xdr:nvSpPr>
        <xdr:cNvPr id="10" name="Rectangle: Rounded Corner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AB383EA-AE1C-4D34-B549-223A50C1F417}"/>
            </a:ext>
          </a:extLst>
        </xdr:cNvPr>
        <xdr:cNvSpPr/>
      </xdr:nvSpPr>
      <xdr:spPr>
        <a:xfrm>
          <a:off x="66146" y="3829049"/>
          <a:ext cx="1704975" cy="45720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July</a:t>
          </a:r>
          <a:endParaRPr lang="en-US" sz="1100"/>
        </a:p>
      </xdr:txBody>
    </xdr:sp>
    <xdr:clientData/>
  </xdr:twoCellAnchor>
  <xdr:twoCellAnchor>
    <xdr:from>
      <xdr:col>0</xdr:col>
      <xdr:colOff>71967</xdr:colOff>
      <xdr:row>23</xdr:row>
      <xdr:rowOff>86255</xdr:rowOff>
    </xdr:from>
    <xdr:to>
      <xdr:col>2</xdr:col>
      <xdr:colOff>557742</xdr:colOff>
      <xdr:row>25</xdr:row>
      <xdr:rowOff>176214</xdr:rowOff>
    </xdr:to>
    <xdr:sp macro="" textlink="">
      <xdr:nvSpPr>
        <xdr:cNvPr id="11" name="Rectangle: Rounded Corner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9E31305-663D-45E5-8519-B1E7F51AE3DA}"/>
            </a:ext>
          </a:extLst>
        </xdr:cNvPr>
        <xdr:cNvSpPr/>
      </xdr:nvSpPr>
      <xdr:spPr>
        <a:xfrm>
          <a:off x="71967" y="4353455"/>
          <a:ext cx="1704975" cy="45825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August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26</xdr:row>
      <xdr:rowOff>58888</xdr:rowOff>
    </xdr:from>
    <xdr:to>
      <xdr:col>2</xdr:col>
      <xdr:colOff>551921</xdr:colOff>
      <xdr:row>28</xdr:row>
      <xdr:rowOff>146579</xdr:rowOff>
    </xdr:to>
    <xdr:sp macro="" textlink="">
      <xdr:nvSpPr>
        <xdr:cNvPr id="12" name="Rectangle: Rounded Corner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5E73E9F-1AAD-4362-B55B-C273CD5F28B5}"/>
            </a:ext>
          </a:extLst>
        </xdr:cNvPr>
        <xdr:cNvSpPr/>
      </xdr:nvSpPr>
      <xdr:spPr>
        <a:xfrm>
          <a:off x="66146" y="4878538"/>
          <a:ext cx="1704975" cy="46234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Steptember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29</xdr:row>
      <xdr:rowOff>41880</xdr:rowOff>
    </xdr:from>
    <xdr:to>
      <xdr:col>2</xdr:col>
      <xdr:colOff>551921</xdr:colOff>
      <xdr:row>31</xdr:row>
      <xdr:rowOff>129571</xdr:rowOff>
    </xdr:to>
    <xdr:sp macro="" textlink="">
      <xdr:nvSpPr>
        <xdr:cNvPr id="13" name="Rectangle: Rounded Corner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451FE49-987D-4783-8D5D-34AA35111C32}"/>
            </a:ext>
          </a:extLst>
        </xdr:cNvPr>
        <xdr:cNvSpPr/>
      </xdr:nvSpPr>
      <xdr:spPr>
        <a:xfrm>
          <a:off x="66146" y="5420330"/>
          <a:ext cx="1704975" cy="45599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October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32</xdr:row>
      <xdr:rowOff>8165</xdr:rowOff>
    </xdr:from>
    <xdr:to>
      <xdr:col>2</xdr:col>
      <xdr:colOff>551921</xdr:colOff>
      <xdr:row>34</xdr:row>
      <xdr:rowOff>103415</xdr:rowOff>
    </xdr:to>
    <xdr:sp macro="" textlink="">
      <xdr:nvSpPr>
        <xdr:cNvPr id="14" name="Rectangle: Rounded Corners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30BBF04-CAED-4D7E-8D9C-F1BD71321180}"/>
            </a:ext>
          </a:extLst>
        </xdr:cNvPr>
        <xdr:cNvSpPr/>
      </xdr:nvSpPr>
      <xdr:spPr>
        <a:xfrm>
          <a:off x="66146" y="5939065"/>
          <a:ext cx="1704975" cy="46355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November</a:t>
          </a:r>
          <a:endParaRPr lang="en-US" sz="1100"/>
        </a:p>
      </xdr:txBody>
    </xdr:sp>
    <xdr:clientData/>
  </xdr:twoCellAnchor>
  <xdr:twoCellAnchor>
    <xdr:from>
      <xdr:col>0</xdr:col>
      <xdr:colOff>79376</xdr:colOff>
      <xdr:row>34</xdr:row>
      <xdr:rowOff>183773</xdr:rowOff>
    </xdr:from>
    <xdr:to>
      <xdr:col>2</xdr:col>
      <xdr:colOff>565151</xdr:colOff>
      <xdr:row>37</xdr:row>
      <xdr:rowOff>93814</xdr:rowOff>
    </xdr:to>
    <xdr:sp macro="" textlink="">
      <xdr:nvSpPr>
        <xdr:cNvPr id="15" name="Rectangle: Rounded Corners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EB2A23C-CA54-4B6D-91C6-AFD6587484FD}"/>
            </a:ext>
          </a:extLst>
        </xdr:cNvPr>
        <xdr:cNvSpPr/>
      </xdr:nvSpPr>
      <xdr:spPr>
        <a:xfrm>
          <a:off x="79376" y="6482973"/>
          <a:ext cx="1704975" cy="46249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December</a:t>
          </a:r>
          <a:endParaRPr lang="en-US" sz="1100"/>
        </a:p>
      </xdr:txBody>
    </xdr:sp>
    <xdr:clientData/>
  </xdr:twoCellAnchor>
  <xdr:twoCellAnchor>
    <xdr:from>
      <xdr:col>42</xdr:col>
      <xdr:colOff>597648</xdr:colOff>
      <xdr:row>0</xdr:row>
      <xdr:rowOff>0</xdr:rowOff>
    </xdr:from>
    <xdr:to>
      <xdr:col>57</xdr:col>
      <xdr:colOff>14942</xdr:colOff>
      <xdr:row>2</xdr:row>
      <xdr:rowOff>171824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1E2DF83-A8E8-41AC-8658-EDD488869FAA}"/>
            </a:ext>
          </a:extLst>
        </xdr:cNvPr>
        <xdr:cNvSpPr/>
      </xdr:nvSpPr>
      <xdr:spPr>
        <a:xfrm>
          <a:off x="16390098" y="0"/>
          <a:ext cx="9710644" cy="5401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chemeClr val="bg1"/>
              </a:solidFill>
            </a:rPr>
            <a:t>Monthly</a:t>
          </a:r>
          <a:r>
            <a:rPr lang="en-US" sz="2800" b="1" baseline="0">
              <a:solidFill>
                <a:schemeClr val="bg1"/>
              </a:solidFill>
            </a:rPr>
            <a:t> Report</a:t>
          </a:r>
          <a:endParaRPr lang="en-US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528632</xdr:colOff>
      <xdr:row>0</xdr:row>
      <xdr:rowOff>145304</xdr:rowOff>
    </xdr:from>
    <xdr:to>
      <xdr:col>4</xdr:col>
      <xdr:colOff>506218</xdr:colOff>
      <xdr:row>2</xdr:row>
      <xdr:rowOff>69134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2C4F1B0-15C6-461C-B5EF-B1A2C6D9F6DC}"/>
            </a:ext>
          </a:extLst>
        </xdr:cNvPr>
        <xdr:cNvSpPr/>
      </xdr:nvSpPr>
      <xdr:spPr>
        <a:xfrm>
          <a:off x="1747832" y="145304"/>
          <a:ext cx="1196786" cy="29213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FROM</a:t>
          </a:r>
        </a:p>
      </xdr:txBody>
    </xdr:sp>
    <xdr:clientData/>
  </xdr:twoCellAnchor>
  <xdr:twoCellAnchor>
    <xdr:from>
      <xdr:col>7</xdr:col>
      <xdr:colOff>83384</xdr:colOff>
      <xdr:row>0</xdr:row>
      <xdr:rowOff>140822</xdr:rowOff>
    </xdr:from>
    <xdr:to>
      <xdr:col>8</xdr:col>
      <xdr:colOff>471853</xdr:colOff>
      <xdr:row>2</xdr:row>
      <xdr:rowOff>64652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B3A23CE-6542-4100-B03C-95A476EA0E5B}"/>
            </a:ext>
          </a:extLst>
        </xdr:cNvPr>
        <xdr:cNvSpPr/>
      </xdr:nvSpPr>
      <xdr:spPr>
        <a:xfrm>
          <a:off x="4604584" y="140822"/>
          <a:ext cx="1207619" cy="29213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TO</a:t>
          </a:r>
        </a:p>
        <a:p>
          <a:pPr marL="0" indent="0" algn="ctr"/>
          <a:endParaRPr lang="en-US" sz="16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494264</xdr:colOff>
      <xdr:row>0</xdr:row>
      <xdr:rowOff>148292</xdr:rowOff>
    </xdr:from>
    <xdr:to>
      <xdr:col>6</xdr:col>
      <xdr:colOff>471851</xdr:colOff>
      <xdr:row>2</xdr:row>
      <xdr:rowOff>72122</xdr:rowOff>
    </xdr:to>
    <xdr:sp macro="" textlink="$G$5">
      <xdr:nvSpPr>
        <xdr:cNvPr id="19" name="Rectangle 18">
          <a:extLst>
            <a:ext uri="{FF2B5EF4-FFF2-40B4-BE49-F238E27FC236}">
              <a16:creationId xmlns:a16="http://schemas.microsoft.com/office/drawing/2014/main" id="{01C55B5C-ED90-449F-9327-4AFFC5B8E8E5}"/>
            </a:ext>
          </a:extLst>
        </xdr:cNvPr>
        <xdr:cNvSpPr/>
      </xdr:nvSpPr>
      <xdr:spPr>
        <a:xfrm>
          <a:off x="2932664" y="148292"/>
          <a:ext cx="1196787" cy="29213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1BAFFE97-76C2-4FA9-8172-754635694528}" type="TxLink">
            <a:rPr lang="en-US" sz="1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pPr algn="ctr"/>
            <a:t>01-Feb-2025</a:t>
          </a:fld>
          <a:endParaRPr lang="en-US" sz="1400"/>
        </a:p>
      </xdr:txBody>
    </xdr:sp>
    <xdr:clientData/>
  </xdr:twoCellAnchor>
  <xdr:twoCellAnchor>
    <xdr:from>
      <xdr:col>8</xdr:col>
      <xdr:colOff>490329</xdr:colOff>
      <xdr:row>0</xdr:row>
      <xdr:rowOff>134874</xdr:rowOff>
    </xdr:from>
    <xdr:to>
      <xdr:col>11</xdr:col>
      <xdr:colOff>19680</xdr:colOff>
      <xdr:row>2</xdr:row>
      <xdr:rowOff>58704</xdr:rowOff>
    </xdr:to>
    <xdr:sp macro="" textlink="$M$5">
      <xdr:nvSpPr>
        <xdr:cNvPr id="20" name="Rectangle 19">
          <a:extLst>
            <a:ext uri="{FF2B5EF4-FFF2-40B4-BE49-F238E27FC236}">
              <a16:creationId xmlns:a16="http://schemas.microsoft.com/office/drawing/2014/main" id="{CBA949C5-F143-4449-8D75-793376BC222B}"/>
            </a:ext>
          </a:extLst>
        </xdr:cNvPr>
        <xdr:cNvSpPr/>
      </xdr:nvSpPr>
      <xdr:spPr>
        <a:xfrm>
          <a:off x="5830679" y="134874"/>
          <a:ext cx="1212101" cy="29213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F18C7413-8E99-44FA-A55E-E2450FCA2E79}" type="TxLink">
            <a:rPr lang="en-US" sz="1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pPr algn="ctr"/>
            <a:t>28-Feb-2025</a:t>
          </a:fld>
          <a:endParaRPr lang="en-US" sz="1400"/>
        </a:p>
      </xdr:txBody>
    </xdr:sp>
    <xdr:clientData/>
  </xdr:twoCellAnchor>
  <xdr:twoCellAnchor>
    <xdr:from>
      <xdr:col>12</xdr:col>
      <xdr:colOff>205619</xdr:colOff>
      <xdr:row>0</xdr:row>
      <xdr:rowOff>87923</xdr:rowOff>
    </xdr:from>
    <xdr:to>
      <xdr:col>24</xdr:col>
      <xdr:colOff>189802</xdr:colOff>
      <xdr:row>2</xdr:row>
      <xdr:rowOff>113489</xdr:rowOff>
    </xdr:to>
    <xdr:sp macro="" textlink="$M$5">
      <xdr:nvSpPr>
        <xdr:cNvPr id="21" name="Rectangle 20">
          <a:extLst>
            <a:ext uri="{FF2B5EF4-FFF2-40B4-BE49-F238E27FC236}">
              <a16:creationId xmlns:a16="http://schemas.microsoft.com/office/drawing/2014/main" id="{0302C927-879F-40F2-962F-6520060C4C3A}"/>
            </a:ext>
          </a:extLst>
        </xdr:cNvPr>
        <xdr:cNvSpPr/>
      </xdr:nvSpPr>
      <xdr:spPr>
        <a:xfrm>
          <a:off x="7501769" y="87923"/>
          <a:ext cx="3260783" cy="393866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Dashboard</a:t>
          </a:r>
          <a:r>
            <a:rPr lang="en-US" sz="2400" baseline="0"/>
            <a:t> For Month    f </a:t>
          </a:r>
          <a:endParaRPr lang="en-US" sz="2400"/>
        </a:p>
      </xdr:txBody>
    </xdr:sp>
    <xdr:clientData/>
  </xdr:twoCellAnchor>
  <xdr:twoCellAnchor>
    <xdr:from>
      <xdr:col>23</xdr:col>
      <xdr:colOff>139918</xdr:colOff>
      <xdr:row>0</xdr:row>
      <xdr:rowOff>88377</xdr:rowOff>
    </xdr:from>
    <xdr:to>
      <xdr:col>29</xdr:col>
      <xdr:colOff>166933</xdr:colOff>
      <xdr:row>2</xdr:row>
      <xdr:rowOff>114563</xdr:rowOff>
    </xdr:to>
    <xdr:sp macro="" textlink="$I$4">
      <xdr:nvSpPr>
        <xdr:cNvPr id="22" name="Rectangle 21">
          <a:extLst>
            <a:ext uri="{FF2B5EF4-FFF2-40B4-BE49-F238E27FC236}">
              <a16:creationId xmlns:a16="http://schemas.microsoft.com/office/drawing/2014/main" id="{609B5DFD-7C99-4679-9FDC-A9DD47B2E812}"/>
            </a:ext>
          </a:extLst>
        </xdr:cNvPr>
        <xdr:cNvSpPr/>
      </xdr:nvSpPr>
      <xdr:spPr>
        <a:xfrm flipH="1">
          <a:off x="10551954" y="88377"/>
          <a:ext cx="1611242" cy="39278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7CCC7E4-D351-43A5-B697-CE8115FFBC59}" type="TxLink">
            <a:rPr lang="en-US" sz="2400" b="0" i="0" u="none" strike="noStrike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Narrow"/>
            </a:rPr>
            <a:pPr algn="l"/>
            <a:t>February</a:t>
          </a:fld>
          <a:endParaRPr lang="en-US" sz="2400" b="0" cap="none" spc="0">
            <a:ln w="0"/>
            <a:solidFill>
              <a:schemeClr val="accent2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56067</xdr:colOff>
      <xdr:row>3</xdr:row>
      <xdr:rowOff>35277</xdr:rowOff>
    </xdr:from>
    <xdr:to>
      <xdr:col>2</xdr:col>
      <xdr:colOff>537810</xdr:colOff>
      <xdr:row>5</xdr:row>
      <xdr:rowOff>101045</xdr:rowOff>
    </xdr:to>
    <xdr:sp macro="" textlink="">
      <xdr:nvSpPr>
        <xdr:cNvPr id="23" name="Rectangle: Rounded Corner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24AD963-0C46-44BD-A134-B11AE4B0156C}"/>
            </a:ext>
          </a:extLst>
        </xdr:cNvPr>
        <xdr:cNvSpPr/>
      </xdr:nvSpPr>
      <xdr:spPr>
        <a:xfrm>
          <a:off x="56067" y="585610"/>
          <a:ext cx="1695299" cy="43971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chemeClr val="tx1"/>
              </a:solidFill>
            </a:rPr>
            <a:t>January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22</xdr:col>
      <xdr:colOff>96764</xdr:colOff>
      <xdr:row>1</xdr:row>
      <xdr:rowOff>84667</xdr:rowOff>
    </xdr:from>
    <xdr:to>
      <xdr:col>23</xdr:col>
      <xdr:colOff>48381</xdr:colOff>
      <xdr:row>2</xdr:row>
      <xdr:rowOff>114904</xdr:rowOff>
    </xdr:to>
    <xdr:pic>
      <xdr:nvPicPr>
        <xdr:cNvPr id="24" name="Graphic 23" descr="Magnifying glass with solid fill">
          <a:extLst>
            <a:ext uri="{FF2B5EF4-FFF2-40B4-BE49-F238E27FC236}">
              <a16:creationId xmlns:a16="http://schemas.microsoft.com/office/drawing/2014/main" id="{31F5099A-5998-4D44-A302-7D5771CA1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rot="5400000">
          <a:off x="10204754" y="270027"/>
          <a:ext cx="214387" cy="211967"/>
        </a:xfrm>
        <a:prstGeom prst="rect">
          <a:avLst/>
        </a:prstGeom>
      </xdr:spPr>
    </xdr:pic>
    <xdr:clientData/>
  </xdr:twoCellAnchor>
  <xdr:twoCellAnchor>
    <xdr:from>
      <xdr:col>30</xdr:col>
      <xdr:colOff>18141</xdr:colOff>
      <xdr:row>0</xdr:row>
      <xdr:rowOff>66525</xdr:rowOff>
    </xdr:from>
    <xdr:to>
      <xdr:col>32</xdr:col>
      <xdr:colOff>84666</xdr:colOff>
      <xdr:row>2</xdr:row>
      <xdr:rowOff>54429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9BE6EF24-A97A-4E40-80F2-72FC6C6DF7FC}"/>
            </a:ext>
          </a:extLst>
        </xdr:cNvPr>
        <xdr:cNvSpPr/>
      </xdr:nvSpPr>
      <xdr:spPr>
        <a:xfrm>
          <a:off x="12241891" y="66525"/>
          <a:ext cx="511025" cy="3562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🟢</a:t>
          </a:r>
        </a:p>
      </xdr:txBody>
    </xdr:sp>
    <xdr:clientData/>
  </xdr:twoCellAnchor>
  <xdr:twoCellAnchor>
    <xdr:from>
      <xdr:col>35</xdr:col>
      <xdr:colOff>72574</xdr:colOff>
      <xdr:row>0</xdr:row>
      <xdr:rowOff>84668</xdr:rowOff>
    </xdr:from>
    <xdr:to>
      <xdr:col>38</xdr:col>
      <xdr:colOff>223764</xdr:colOff>
      <xdr:row>2</xdr:row>
      <xdr:rowOff>48382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1470243A-53CA-4802-B8ED-4DF64265CA70}"/>
            </a:ext>
          </a:extLst>
        </xdr:cNvPr>
        <xdr:cNvSpPr/>
      </xdr:nvSpPr>
      <xdr:spPr>
        <a:xfrm>
          <a:off x="13579024" y="84668"/>
          <a:ext cx="925890" cy="33201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ABSENT</a:t>
          </a:r>
        </a:p>
      </xdr:txBody>
    </xdr:sp>
    <xdr:clientData/>
  </xdr:twoCellAnchor>
  <xdr:twoCellAnchor>
    <xdr:from>
      <xdr:col>34</xdr:col>
      <xdr:colOff>85877</xdr:colOff>
      <xdr:row>0</xdr:row>
      <xdr:rowOff>61685</xdr:rowOff>
    </xdr:from>
    <xdr:to>
      <xdr:col>35</xdr:col>
      <xdr:colOff>266096</xdr:colOff>
      <xdr:row>2</xdr:row>
      <xdr:rowOff>42333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88C9D1B-417A-4235-A6C7-45DE37E06F2A}"/>
            </a:ext>
          </a:extLst>
        </xdr:cNvPr>
        <xdr:cNvSpPr/>
      </xdr:nvSpPr>
      <xdr:spPr>
        <a:xfrm>
          <a:off x="13331977" y="61685"/>
          <a:ext cx="440569" cy="34894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US" sz="1100"/>
            <a:t>🔴</a:t>
          </a:r>
        </a:p>
      </xdr:txBody>
    </xdr:sp>
    <xdr:clientData/>
  </xdr:twoCellAnchor>
  <xdr:twoCellAnchor>
    <xdr:from>
      <xdr:col>31</xdr:col>
      <xdr:colOff>181429</xdr:colOff>
      <xdr:row>0</xdr:row>
      <xdr:rowOff>127001</xdr:rowOff>
    </xdr:from>
    <xdr:to>
      <xdr:col>34</xdr:col>
      <xdr:colOff>127000</xdr:colOff>
      <xdr:row>2</xdr:row>
      <xdr:rowOff>24191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662E64D6-798D-442B-A05B-D1D7C896D148}"/>
            </a:ext>
          </a:extLst>
        </xdr:cNvPr>
        <xdr:cNvSpPr/>
      </xdr:nvSpPr>
      <xdr:spPr>
        <a:xfrm>
          <a:off x="12608379" y="127001"/>
          <a:ext cx="764721" cy="26549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PRESENT</a:t>
          </a:r>
        </a:p>
      </xdr:txBody>
    </xdr:sp>
    <xdr:clientData/>
  </xdr:twoCellAnchor>
  <xdr:twoCellAnchor>
    <xdr:from>
      <xdr:col>40</xdr:col>
      <xdr:colOff>96764</xdr:colOff>
      <xdr:row>0</xdr:row>
      <xdr:rowOff>60477</xdr:rowOff>
    </xdr:from>
    <xdr:to>
      <xdr:col>42</xdr:col>
      <xdr:colOff>42334</xdr:colOff>
      <xdr:row>2</xdr:row>
      <xdr:rowOff>60476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ED0CAF84-898A-408C-A089-41C3DB0E247B}"/>
            </a:ext>
          </a:extLst>
        </xdr:cNvPr>
        <xdr:cNvSpPr/>
      </xdr:nvSpPr>
      <xdr:spPr>
        <a:xfrm>
          <a:off x="14924014" y="60477"/>
          <a:ext cx="910770" cy="36829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LEAVE</a:t>
          </a:r>
        </a:p>
      </xdr:txBody>
    </xdr:sp>
    <xdr:clientData/>
  </xdr:twoCellAnchor>
  <xdr:twoCellAnchor>
    <xdr:from>
      <xdr:col>39</xdr:col>
      <xdr:colOff>99180</xdr:colOff>
      <xdr:row>0</xdr:row>
      <xdr:rowOff>50801</xdr:rowOff>
    </xdr:from>
    <xdr:to>
      <xdr:col>40</xdr:col>
      <xdr:colOff>302381</xdr:colOff>
      <xdr:row>2</xdr:row>
      <xdr:rowOff>60477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EB88DB33-0EE7-4839-A172-31D729F42048}"/>
            </a:ext>
          </a:extLst>
        </xdr:cNvPr>
        <xdr:cNvSpPr/>
      </xdr:nvSpPr>
      <xdr:spPr>
        <a:xfrm>
          <a:off x="14634330" y="50801"/>
          <a:ext cx="495301" cy="377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39</xdr:col>
      <xdr:colOff>247954</xdr:colOff>
      <xdr:row>0</xdr:row>
      <xdr:rowOff>60477</xdr:rowOff>
    </xdr:from>
    <xdr:to>
      <xdr:col>41</xdr:col>
      <xdr:colOff>514048</xdr:colOff>
      <xdr:row>2</xdr:row>
      <xdr:rowOff>60476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1466D6C5-ADA4-4A68-81A7-9C7C765FA0BD}"/>
            </a:ext>
          </a:extLst>
        </xdr:cNvPr>
        <xdr:cNvSpPr/>
      </xdr:nvSpPr>
      <xdr:spPr>
        <a:xfrm>
          <a:off x="14783104" y="60477"/>
          <a:ext cx="913794" cy="36829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LEAVE</a:t>
          </a:r>
        </a:p>
      </xdr:txBody>
    </xdr:sp>
    <xdr:clientData/>
  </xdr:twoCellAnchor>
  <xdr:twoCellAnchor>
    <xdr:from>
      <xdr:col>38</xdr:col>
      <xdr:colOff>214085</xdr:colOff>
      <xdr:row>0</xdr:row>
      <xdr:rowOff>50801</xdr:rowOff>
    </xdr:from>
    <xdr:to>
      <xdr:col>40</xdr:col>
      <xdr:colOff>163286</xdr:colOff>
      <xdr:row>2</xdr:row>
      <xdr:rowOff>60477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8E81643B-8C0F-4C32-B8F9-ACDA3EB58C34}"/>
            </a:ext>
          </a:extLst>
        </xdr:cNvPr>
        <xdr:cNvSpPr/>
      </xdr:nvSpPr>
      <xdr:spPr>
        <a:xfrm>
          <a:off x="14495235" y="50801"/>
          <a:ext cx="495301" cy="377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557648</xdr:colOff>
      <xdr:row>0</xdr:row>
      <xdr:rowOff>0</xdr:rowOff>
    </xdr:from>
    <xdr:to>
      <xdr:col>42</xdr:col>
      <xdr:colOff>290286</xdr:colOff>
      <xdr:row>2</xdr:row>
      <xdr:rowOff>156883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98809F2-2084-490B-B563-E3FF5EA17326}"/>
            </a:ext>
          </a:extLst>
        </xdr:cNvPr>
        <xdr:cNvSpPr/>
      </xdr:nvSpPr>
      <xdr:spPr>
        <a:xfrm>
          <a:off x="1776848" y="0"/>
          <a:ext cx="14305888" cy="5251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KKKI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590550</xdr:colOff>
      <xdr:row>38</xdr:row>
      <xdr:rowOff>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A8D9A77-4921-4777-AF96-930F7DBAC01F}"/>
            </a:ext>
          </a:extLst>
        </xdr:cNvPr>
        <xdr:cNvSpPr/>
      </xdr:nvSpPr>
      <xdr:spPr>
        <a:xfrm>
          <a:off x="0" y="0"/>
          <a:ext cx="1809750" cy="703580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66146</xdr:colOff>
      <xdr:row>6</xdr:row>
      <xdr:rowOff>10583</xdr:rowOff>
    </xdr:from>
    <xdr:to>
      <xdr:col>2</xdr:col>
      <xdr:colOff>551921</xdr:colOff>
      <xdr:row>8</xdr:row>
      <xdr:rowOff>100541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3254AF-0391-4E8D-B889-98078528E9F7}"/>
            </a:ext>
          </a:extLst>
        </xdr:cNvPr>
        <xdr:cNvSpPr/>
      </xdr:nvSpPr>
      <xdr:spPr>
        <a:xfrm>
          <a:off x="66146" y="1147233"/>
          <a:ext cx="1704975" cy="44555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February</a:t>
          </a:r>
          <a:endParaRPr lang="en-US" sz="1100"/>
        </a:p>
      </xdr:txBody>
    </xdr:sp>
    <xdr:clientData/>
  </xdr:twoCellAnchor>
  <xdr:twoCellAnchor>
    <xdr:from>
      <xdr:col>1</xdr:col>
      <xdr:colOff>107951</xdr:colOff>
      <xdr:row>8</xdr:row>
      <xdr:rowOff>169332</xdr:rowOff>
    </xdr:from>
    <xdr:to>
      <xdr:col>3</xdr:col>
      <xdr:colOff>593726</xdr:colOff>
      <xdr:row>11</xdr:row>
      <xdr:rowOff>79374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9675C6-65F5-4B41-9E2B-7558ED9228DF}"/>
            </a:ext>
          </a:extLst>
        </xdr:cNvPr>
        <xdr:cNvSpPr/>
      </xdr:nvSpPr>
      <xdr:spPr>
        <a:xfrm>
          <a:off x="710387" y="1650999"/>
          <a:ext cx="1690647" cy="1033503"/>
        </a:xfrm>
        <a:prstGeom prst="roundRect">
          <a:avLst/>
        </a:prstGeom>
        <a:solidFill>
          <a:schemeClr val="bg2"/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March</a:t>
          </a:r>
          <a:endParaRPr lang="en-US" sz="1100"/>
        </a:p>
      </xdr:txBody>
    </xdr:sp>
    <xdr:clientData/>
  </xdr:twoCellAnchor>
  <xdr:twoCellAnchor>
    <xdr:from>
      <xdr:col>0</xdr:col>
      <xdr:colOff>68263</xdr:colOff>
      <xdr:row>11</xdr:row>
      <xdr:rowOff>147636</xdr:rowOff>
    </xdr:from>
    <xdr:to>
      <xdr:col>2</xdr:col>
      <xdr:colOff>554038</xdr:colOff>
      <xdr:row>14</xdr:row>
      <xdr:rowOff>57678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6B2AA22-EE6E-4EF3-AF7E-284B44554969}"/>
            </a:ext>
          </a:extLst>
        </xdr:cNvPr>
        <xdr:cNvSpPr/>
      </xdr:nvSpPr>
      <xdr:spPr>
        <a:xfrm>
          <a:off x="68263" y="2752764"/>
          <a:ext cx="1690647" cy="1033504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April</a:t>
          </a:r>
          <a:endParaRPr lang="en-US" sz="1100"/>
        </a:p>
      </xdr:txBody>
    </xdr:sp>
    <xdr:clientData/>
  </xdr:twoCellAnchor>
  <xdr:twoCellAnchor>
    <xdr:from>
      <xdr:col>0</xdr:col>
      <xdr:colOff>79375</xdr:colOff>
      <xdr:row>14</xdr:row>
      <xdr:rowOff>129116</xdr:rowOff>
    </xdr:from>
    <xdr:to>
      <xdr:col>2</xdr:col>
      <xdr:colOff>565150</xdr:colOff>
      <xdr:row>17</xdr:row>
      <xdr:rowOff>39158</xdr:rowOff>
    </xdr:to>
    <xdr:sp macro="" textlink="">
      <xdr:nvSpPr>
        <xdr:cNvPr id="8" name="Rectangle: Rounded Corner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BA70982-B9CC-4354-B76D-EA3306B5E997}"/>
            </a:ext>
          </a:extLst>
        </xdr:cNvPr>
        <xdr:cNvSpPr/>
      </xdr:nvSpPr>
      <xdr:spPr>
        <a:xfrm>
          <a:off x="79375" y="3857706"/>
          <a:ext cx="1690647" cy="106606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May</a:t>
          </a:r>
          <a:endParaRPr lang="en-US" sz="1100"/>
        </a:p>
      </xdr:txBody>
    </xdr:sp>
    <xdr:clientData/>
  </xdr:twoCellAnchor>
  <xdr:twoCellAnchor>
    <xdr:from>
      <xdr:col>0</xdr:col>
      <xdr:colOff>71968</xdr:colOff>
      <xdr:row>17</xdr:row>
      <xdr:rowOff>125411</xdr:rowOff>
    </xdr:from>
    <xdr:to>
      <xdr:col>2</xdr:col>
      <xdr:colOff>557743</xdr:colOff>
      <xdr:row>20</xdr:row>
      <xdr:rowOff>35453</xdr:rowOff>
    </xdr:to>
    <xdr:sp macro="" textlink="">
      <xdr:nvSpPr>
        <xdr:cNvPr id="9" name="Rectangle: Rounded Corner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904D05-1C4A-419A-BF5F-246F017771C2}"/>
            </a:ext>
          </a:extLst>
        </xdr:cNvPr>
        <xdr:cNvSpPr/>
      </xdr:nvSpPr>
      <xdr:spPr>
        <a:xfrm>
          <a:off x="71968" y="5010026"/>
          <a:ext cx="1690647" cy="1033504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June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20</xdr:row>
      <xdr:rowOff>114299</xdr:rowOff>
    </xdr:from>
    <xdr:to>
      <xdr:col>2</xdr:col>
      <xdr:colOff>551921</xdr:colOff>
      <xdr:row>23</xdr:row>
      <xdr:rowOff>19049</xdr:rowOff>
    </xdr:to>
    <xdr:sp macro="" textlink="">
      <xdr:nvSpPr>
        <xdr:cNvPr id="10" name="Rectangle: Rounded Corner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E4A4F7A-B784-4FD2-AFED-A5865C3C9CAB}"/>
            </a:ext>
          </a:extLst>
        </xdr:cNvPr>
        <xdr:cNvSpPr/>
      </xdr:nvSpPr>
      <xdr:spPr>
        <a:xfrm>
          <a:off x="66146" y="6122376"/>
          <a:ext cx="1690647" cy="102821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July</a:t>
          </a:r>
          <a:endParaRPr lang="en-US" sz="1100"/>
        </a:p>
      </xdr:txBody>
    </xdr:sp>
    <xdr:clientData/>
  </xdr:twoCellAnchor>
  <xdr:twoCellAnchor>
    <xdr:from>
      <xdr:col>0</xdr:col>
      <xdr:colOff>71967</xdr:colOff>
      <xdr:row>23</xdr:row>
      <xdr:rowOff>86255</xdr:rowOff>
    </xdr:from>
    <xdr:to>
      <xdr:col>2</xdr:col>
      <xdr:colOff>557742</xdr:colOff>
      <xdr:row>25</xdr:row>
      <xdr:rowOff>176214</xdr:rowOff>
    </xdr:to>
    <xdr:sp macro="" textlink="">
      <xdr:nvSpPr>
        <xdr:cNvPr id="11" name="Rectangle: Rounded Corner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9A72F8F-9A5D-4CF4-A6AB-48C377900EF7}"/>
            </a:ext>
          </a:extLst>
        </xdr:cNvPr>
        <xdr:cNvSpPr/>
      </xdr:nvSpPr>
      <xdr:spPr>
        <a:xfrm>
          <a:off x="71967" y="7217793"/>
          <a:ext cx="1690647" cy="838934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August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26</xdr:row>
      <xdr:rowOff>58888</xdr:rowOff>
    </xdr:from>
    <xdr:to>
      <xdr:col>2</xdr:col>
      <xdr:colOff>551921</xdr:colOff>
      <xdr:row>28</xdr:row>
      <xdr:rowOff>146579</xdr:rowOff>
    </xdr:to>
    <xdr:sp macro="" textlink="">
      <xdr:nvSpPr>
        <xdr:cNvPr id="12" name="Rectangle: Rounded Corner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11092A9-CC13-446A-B150-6253654D2E96}"/>
            </a:ext>
          </a:extLst>
        </xdr:cNvPr>
        <xdr:cNvSpPr/>
      </xdr:nvSpPr>
      <xdr:spPr>
        <a:xfrm>
          <a:off x="66146" y="4878538"/>
          <a:ext cx="1704975" cy="46234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Steptember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29</xdr:row>
      <xdr:rowOff>41880</xdr:rowOff>
    </xdr:from>
    <xdr:to>
      <xdr:col>2</xdr:col>
      <xdr:colOff>551921</xdr:colOff>
      <xdr:row>31</xdr:row>
      <xdr:rowOff>129571</xdr:rowOff>
    </xdr:to>
    <xdr:sp macro="" textlink="">
      <xdr:nvSpPr>
        <xdr:cNvPr id="13" name="Rectangle: Rounded Corner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E5AE758-25E0-4648-967C-514A2754BD92}"/>
            </a:ext>
          </a:extLst>
        </xdr:cNvPr>
        <xdr:cNvSpPr/>
      </xdr:nvSpPr>
      <xdr:spPr>
        <a:xfrm>
          <a:off x="66146" y="5420330"/>
          <a:ext cx="1704975" cy="45599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October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32</xdr:row>
      <xdr:rowOff>8165</xdr:rowOff>
    </xdr:from>
    <xdr:to>
      <xdr:col>2</xdr:col>
      <xdr:colOff>551921</xdr:colOff>
      <xdr:row>34</xdr:row>
      <xdr:rowOff>103415</xdr:rowOff>
    </xdr:to>
    <xdr:sp macro="" textlink="">
      <xdr:nvSpPr>
        <xdr:cNvPr id="14" name="Rectangle: Rounded Corners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EF9CEEF-C927-4F39-A11E-4BDA8C3907EE}"/>
            </a:ext>
          </a:extLst>
        </xdr:cNvPr>
        <xdr:cNvSpPr/>
      </xdr:nvSpPr>
      <xdr:spPr>
        <a:xfrm>
          <a:off x="66146" y="5939065"/>
          <a:ext cx="1704975" cy="46355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November</a:t>
          </a:r>
          <a:endParaRPr lang="en-US" sz="1100"/>
        </a:p>
      </xdr:txBody>
    </xdr:sp>
    <xdr:clientData/>
  </xdr:twoCellAnchor>
  <xdr:twoCellAnchor>
    <xdr:from>
      <xdr:col>0</xdr:col>
      <xdr:colOff>79376</xdr:colOff>
      <xdr:row>34</xdr:row>
      <xdr:rowOff>183773</xdr:rowOff>
    </xdr:from>
    <xdr:to>
      <xdr:col>2</xdr:col>
      <xdr:colOff>565151</xdr:colOff>
      <xdr:row>37</xdr:row>
      <xdr:rowOff>93814</xdr:rowOff>
    </xdr:to>
    <xdr:sp macro="" textlink="">
      <xdr:nvSpPr>
        <xdr:cNvPr id="15" name="Rectangle: Rounded Corners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D30A0C0-47FF-4556-9610-A1EA624CA725}"/>
            </a:ext>
          </a:extLst>
        </xdr:cNvPr>
        <xdr:cNvSpPr/>
      </xdr:nvSpPr>
      <xdr:spPr>
        <a:xfrm>
          <a:off x="79376" y="6482973"/>
          <a:ext cx="1704975" cy="46249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December</a:t>
          </a:r>
          <a:endParaRPr lang="en-US" sz="1100"/>
        </a:p>
      </xdr:txBody>
    </xdr:sp>
    <xdr:clientData/>
  </xdr:twoCellAnchor>
  <xdr:twoCellAnchor>
    <xdr:from>
      <xdr:col>42</xdr:col>
      <xdr:colOff>597648</xdr:colOff>
      <xdr:row>0</xdr:row>
      <xdr:rowOff>0</xdr:rowOff>
    </xdr:from>
    <xdr:to>
      <xdr:col>57</xdr:col>
      <xdr:colOff>14942</xdr:colOff>
      <xdr:row>2</xdr:row>
      <xdr:rowOff>171824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B8B88F3-CF48-4401-8BED-07954890A7A4}"/>
            </a:ext>
          </a:extLst>
        </xdr:cNvPr>
        <xdr:cNvSpPr/>
      </xdr:nvSpPr>
      <xdr:spPr>
        <a:xfrm>
          <a:off x="16390098" y="0"/>
          <a:ext cx="9710644" cy="5401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chemeClr val="bg1"/>
              </a:solidFill>
            </a:rPr>
            <a:t>Monthly</a:t>
          </a:r>
          <a:r>
            <a:rPr lang="en-US" sz="2800" b="1" baseline="0">
              <a:solidFill>
                <a:schemeClr val="bg1"/>
              </a:solidFill>
            </a:rPr>
            <a:t> Report</a:t>
          </a:r>
          <a:endParaRPr lang="en-US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528632</xdr:colOff>
      <xdr:row>0</xdr:row>
      <xdr:rowOff>145304</xdr:rowOff>
    </xdr:from>
    <xdr:to>
      <xdr:col>4</xdr:col>
      <xdr:colOff>506218</xdr:colOff>
      <xdr:row>2</xdr:row>
      <xdr:rowOff>69134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EAB989D-7E25-4CC8-891D-79D70A68914A}"/>
            </a:ext>
          </a:extLst>
        </xdr:cNvPr>
        <xdr:cNvSpPr/>
      </xdr:nvSpPr>
      <xdr:spPr>
        <a:xfrm>
          <a:off x="1747832" y="145304"/>
          <a:ext cx="1196786" cy="29213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FROM</a:t>
          </a:r>
        </a:p>
      </xdr:txBody>
    </xdr:sp>
    <xdr:clientData/>
  </xdr:twoCellAnchor>
  <xdr:twoCellAnchor>
    <xdr:from>
      <xdr:col>7</xdr:col>
      <xdr:colOff>83384</xdr:colOff>
      <xdr:row>0</xdr:row>
      <xdr:rowOff>140822</xdr:rowOff>
    </xdr:from>
    <xdr:to>
      <xdr:col>8</xdr:col>
      <xdr:colOff>471853</xdr:colOff>
      <xdr:row>2</xdr:row>
      <xdr:rowOff>64652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3305F63-487A-4AB1-90FA-D5EAC3F211B6}"/>
            </a:ext>
          </a:extLst>
        </xdr:cNvPr>
        <xdr:cNvSpPr/>
      </xdr:nvSpPr>
      <xdr:spPr>
        <a:xfrm>
          <a:off x="4604584" y="140822"/>
          <a:ext cx="1207619" cy="29213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TO</a:t>
          </a:r>
        </a:p>
        <a:p>
          <a:pPr marL="0" indent="0" algn="ctr"/>
          <a:endParaRPr lang="en-US" sz="16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494264</xdr:colOff>
      <xdr:row>0</xdr:row>
      <xdr:rowOff>148292</xdr:rowOff>
    </xdr:from>
    <xdr:to>
      <xdr:col>6</xdr:col>
      <xdr:colOff>471851</xdr:colOff>
      <xdr:row>2</xdr:row>
      <xdr:rowOff>72122</xdr:rowOff>
    </xdr:to>
    <xdr:sp macro="" textlink="$G$5">
      <xdr:nvSpPr>
        <xdr:cNvPr id="19" name="Rectangle 18">
          <a:extLst>
            <a:ext uri="{FF2B5EF4-FFF2-40B4-BE49-F238E27FC236}">
              <a16:creationId xmlns:a16="http://schemas.microsoft.com/office/drawing/2014/main" id="{BD93A205-522A-491A-B84B-D70B64751D1E}"/>
            </a:ext>
          </a:extLst>
        </xdr:cNvPr>
        <xdr:cNvSpPr/>
      </xdr:nvSpPr>
      <xdr:spPr>
        <a:xfrm>
          <a:off x="2932664" y="148292"/>
          <a:ext cx="1196787" cy="29213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1BAFFE97-76C2-4FA9-8172-754635694528}" type="TxLink">
            <a:rPr lang="en-US" sz="1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pPr algn="ctr"/>
            <a:t>01-Mar-2025</a:t>
          </a:fld>
          <a:endParaRPr lang="en-US" sz="1400"/>
        </a:p>
      </xdr:txBody>
    </xdr:sp>
    <xdr:clientData/>
  </xdr:twoCellAnchor>
  <xdr:twoCellAnchor>
    <xdr:from>
      <xdr:col>8</xdr:col>
      <xdr:colOff>490329</xdr:colOff>
      <xdr:row>0</xdr:row>
      <xdr:rowOff>134874</xdr:rowOff>
    </xdr:from>
    <xdr:to>
      <xdr:col>11</xdr:col>
      <xdr:colOff>19680</xdr:colOff>
      <xdr:row>2</xdr:row>
      <xdr:rowOff>58704</xdr:rowOff>
    </xdr:to>
    <xdr:sp macro="" textlink="$M$5">
      <xdr:nvSpPr>
        <xdr:cNvPr id="20" name="Rectangle 19">
          <a:extLst>
            <a:ext uri="{FF2B5EF4-FFF2-40B4-BE49-F238E27FC236}">
              <a16:creationId xmlns:a16="http://schemas.microsoft.com/office/drawing/2014/main" id="{09F4E020-6E1D-4C98-BFEC-4AC77A72250A}"/>
            </a:ext>
          </a:extLst>
        </xdr:cNvPr>
        <xdr:cNvSpPr/>
      </xdr:nvSpPr>
      <xdr:spPr>
        <a:xfrm>
          <a:off x="5830679" y="134874"/>
          <a:ext cx="1212101" cy="29213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F18C7413-8E99-44FA-A55E-E2450FCA2E79}" type="TxLink">
            <a:rPr lang="en-US" sz="1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pPr algn="ctr"/>
            <a:t>31-Mar-2025</a:t>
          </a:fld>
          <a:endParaRPr lang="en-US" sz="1400"/>
        </a:p>
      </xdr:txBody>
    </xdr:sp>
    <xdr:clientData/>
  </xdr:twoCellAnchor>
  <xdr:twoCellAnchor>
    <xdr:from>
      <xdr:col>12</xdr:col>
      <xdr:colOff>205619</xdr:colOff>
      <xdr:row>0</xdr:row>
      <xdr:rowOff>87923</xdr:rowOff>
    </xdr:from>
    <xdr:to>
      <xdr:col>24</xdr:col>
      <xdr:colOff>189802</xdr:colOff>
      <xdr:row>2</xdr:row>
      <xdr:rowOff>113489</xdr:rowOff>
    </xdr:to>
    <xdr:sp macro="" textlink="$M$5">
      <xdr:nvSpPr>
        <xdr:cNvPr id="21" name="Rectangle 20">
          <a:extLst>
            <a:ext uri="{FF2B5EF4-FFF2-40B4-BE49-F238E27FC236}">
              <a16:creationId xmlns:a16="http://schemas.microsoft.com/office/drawing/2014/main" id="{9D0F0FFD-8E94-474B-BD02-368898A609C6}"/>
            </a:ext>
          </a:extLst>
        </xdr:cNvPr>
        <xdr:cNvSpPr/>
      </xdr:nvSpPr>
      <xdr:spPr>
        <a:xfrm>
          <a:off x="7501769" y="87923"/>
          <a:ext cx="3260783" cy="393866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Dashboard</a:t>
          </a:r>
          <a:r>
            <a:rPr lang="en-US" sz="2400" baseline="0"/>
            <a:t> For Month     f </a:t>
          </a:r>
          <a:endParaRPr lang="en-US" sz="2400"/>
        </a:p>
      </xdr:txBody>
    </xdr:sp>
    <xdr:clientData/>
  </xdr:twoCellAnchor>
  <xdr:twoCellAnchor>
    <xdr:from>
      <xdr:col>23</xdr:col>
      <xdr:colOff>125341</xdr:colOff>
      <xdr:row>0</xdr:row>
      <xdr:rowOff>88195</xdr:rowOff>
    </xdr:from>
    <xdr:to>
      <xdr:col>29</xdr:col>
      <xdr:colOff>205787</xdr:colOff>
      <xdr:row>2</xdr:row>
      <xdr:rowOff>111714</xdr:rowOff>
    </xdr:to>
    <xdr:sp macro="" textlink="$I$4">
      <xdr:nvSpPr>
        <xdr:cNvPr id="22" name="Rectangle 21">
          <a:extLst>
            <a:ext uri="{FF2B5EF4-FFF2-40B4-BE49-F238E27FC236}">
              <a16:creationId xmlns:a16="http://schemas.microsoft.com/office/drawing/2014/main" id="{F7F001A6-E611-4D1C-AE79-A82B2D566B25}"/>
            </a:ext>
          </a:extLst>
        </xdr:cNvPr>
        <xdr:cNvSpPr/>
      </xdr:nvSpPr>
      <xdr:spPr>
        <a:xfrm flipH="1">
          <a:off x="10497008" y="88195"/>
          <a:ext cx="1662066" cy="388056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7CCC7E4-D351-43A5-B697-CE8115FFBC59}" type="TxLink">
            <a:rPr lang="en-US" sz="2400" b="0" i="0" u="none" strike="noStrike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Narrow"/>
            </a:rPr>
            <a:pPr algn="l"/>
            <a:t>March</a:t>
          </a:fld>
          <a:endParaRPr lang="en-US" sz="2400" b="0" cap="none" spc="0">
            <a:ln w="0"/>
            <a:solidFill>
              <a:schemeClr val="accent2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63123</xdr:colOff>
      <xdr:row>3</xdr:row>
      <xdr:rowOff>13229</xdr:rowOff>
    </xdr:from>
    <xdr:to>
      <xdr:col>2</xdr:col>
      <xdr:colOff>549276</xdr:colOff>
      <xdr:row>5</xdr:row>
      <xdr:rowOff>78997</xdr:rowOff>
    </xdr:to>
    <xdr:sp macro="" textlink="">
      <xdr:nvSpPr>
        <xdr:cNvPr id="23" name="Rectangle: Rounded Corner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83AB3C3-50E1-4D8B-8826-42581F2DFEB9}"/>
            </a:ext>
          </a:extLst>
        </xdr:cNvPr>
        <xdr:cNvSpPr/>
      </xdr:nvSpPr>
      <xdr:spPr>
        <a:xfrm>
          <a:off x="63123" y="560917"/>
          <a:ext cx="1708528" cy="43883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January</a:t>
          </a:r>
          <a:endParaRPr lang="en-US" sz="1100"/>
        </a:p>
      </xdr:txBody>
    </xdr:sp>
    <xdr:clientData/>
  </xdr:twoCellAnchor>
  <xdr:twoCellAnchor editAs="oneCell">
    <xdr:from>
      <xdr:col>22</xdr:col>
      <xdr:colOff>94893</xdr:colOff>
      <xdr:row>1</xdr:row>
      <xdr:rowOff>95091</xdr:rowOff>
    </xdr:from>
    <xdr:to>
      <xdr:col>22</xdr:col>
      <xdr:colOff>304839</xdr:colOff>
      <xdr:row>2</xdr:row>
      <xdr:rowOff>125328</xdr:rowOff>
    </xdr:to>
    <xdr:pic>
      <xdr:nvPicPr>
        <xdr:cNvPr id="24" name="Graphic 23" descr="Magnifying glass with solid fill">
          <a:extLst>
            <a:ext uri="{FF2B5EF4-FFF2-40B4-BE49-F238E27FC236}">
              <a16:creationId xmlns:a16="http://schemas.microsoft.com/office/drawing/2014/main" id="{EA66A198-77AD-4E48-8AB1-6782C68F8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rot="5400000">
          <a:off x="9912594" y="278640"/>
          <a:ext cx="212505" cy="209946"/>
        </a:xfrm>
        <a:prstGeom prst="rect">
          <a:avLst/>
        </a:prstGeom>
      </xdr:spPr>
    </xdr:pic>
    <xdr:clientData/>
  </xdr:twoCellAnchor>
  <xdr:twoCellAnchor>
    <xdr:from>
      <xdr:col>30</xdr:col>
      <xdr:colOff>18141</xdr:colOff>
      <xdr:row>0</xdr:row>
      <xdr:rowOff>66525</xdr:rowOff>
    </xdr:from>
    <xdr:to>
      <xdr:col>32</xdr:col>
      <xdr:colOff>84666</xdr:colOff>
      <xdr:row>2</xdr:row>
      <xdr:rowOff>54429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F36EFDC-4D91-4A72-8189-22B85C214D29}"/>
            </a:ext>
          </a:extLst>
        </xdr:cNvPr>
        <xdr:cNvSpPr/>
      </xdr:nvSpPr>
      <xdr:spPr>
        <a:xfrm>
          <a:off x="12241891" y="66525"/>
          <a:ext cx="511025" cy="3562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🟢</a:t>
          </a:r>
        </a:p>
      </xdr:txBody>
    </xdr:sp>
    <xdr:clientData/>
  </xdr:twoCellAnchor>
  <xdr:twoCellAnchor>
    <xdr:from>
      <xdr:col>35</xdr:col>
      <xdr:colOff>72574</xdr:colOff>
      <xdr:row>0</xdr:row>
      <xdr:rowOff>84668</xdr:rowOff>
    </xdr:from>
    <xdr:to>
      <xdr:col>38</xdr:col>
      <xdr:colOff>223764</xdr:colOff>
      <xdr:row>2</xdr:row>
      <xdr:rowOff>48382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2859506A-2997-4B2A-92DD-1C9F23A7A270}"/>
            </a:ext>
          </a:extLst>
        </xdr:cNvPr>
        <xdr:cNvSpPr/>
      </xdr:nvSpPr>
      <xdr:spPr>
        <a:xfrm>
          <a:off x="13579024" y="84668"/>
          <a:ext cx="925890" cy="33201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ABSENT</a:t>
          </a:r>
        </a:p>
      </xdr:txBody>
    </xdr:sp>
    <xdr:clientData/>
  </xdr:twoCellAnchor>
  <xdr:twoCellAnchor>
    <xdr:from>
      <xdr:col>34</xdr:col>
      <xdr:colOff>85877</xdr:colOff>
      <xdr:row>0</xdr:row>
      <xdr:rowOff>61685</xdr:rowOff>
    </xdr:from>
    <xdr:to>
      <xdr:col>35</xdr:col>
      <xdr:colOff>266096</xdr:colOff>
      <xdr:row>2</xdr:row>
      <xdr:rowOff>42333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995AFE76-53A7-4E12-8FBE-88DD8146B512}"/>
            </a:ext>
          </a:extLst>
        </xdr:cNvPr>
        <xdr:cNvSpPr/>
      </xdr:nvSpPr>
      <xdr:spPr>
        <a:xfrm>
          <a:off x="13331977" y="61685"/>
          <a:ext cx="440569" cy="34894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US" sz="1100"/>
            <a:t>🔴</a:t>
          </a:r>
        </a:p>
      </xdr:txBody>
    </xdr:sp>
    <xdr:clientData/>
  </xdr:twoCellAnchor>
  <xdr:twoCellAnchor>
    <xdr:from>
      <xdr:col>31</xdr:col>
      <xdr:colOff>181429</xdr:colOff>
      <xdr:row>0</xdr:row>
      <xdr:rowOff>127001</xdr:rowOff>
    </xdr:from>
    <xdr:to>
      <xdr:col>34</xdr:col>
      <xdr:colOff>127000</xdr:colOff>
      <xdr:row>2</xdr:row>
      <xdr:rowOff>24191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6F913F1A-A340-47BD-AC7E-3F283CCFB569}"/>
            </a:ext>
          </a:extLst>
        </xdr:cNvPr>
        <xdr:cNvSpPr/>
      </xdr:nvSpPr>
      <xdr:spPr>
        <a:xfrm>
          <a:off x="12608379" y="127001"/>
          <a:ext cx="764721" cy="26549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PRESENT</a:t>
          </a:r>
        </a:p>
      </xdr:txBody>
    </xdr:sp>
    <xdr:clientData/>
  </xdr:twoCellAnchor>
  <xdr:twoCellAnchor>
    <xdr:from>
      <xdr:col>40</xdr:col>
      <xdr:colOff>96764</xdr:colOff>
      <xdr:row>0</xdr:row>
      <xdr:rowOff>60477</xdr:rowOff>
    </xdr:from>
    <xdr:to>
      <xdr:col>42</xdr:col>
      <xdr:colOff>42334</xdr:colOff>
      <xdr:row>2</xdr:row>
      <xdr:rowOff>60476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EE6B4B77-EC3B-48DE-AF84-249186F9AA18}"/>
            </a:ext>
          </a:extLst>
        </xdr:cNvPr>
        <xdr:cNvSpPr/>
      </xdr:nvSpPr>
      <xdr:spPr>
        <a:xfrm>
          <a:off x="14924014" y="60477"/>
          <a:ext cx="910770" cy="36829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LEAVE</a:t>
          </a:r>
        </a:p>
      </xdr:txBody>
    </xdr:sp>
    <xdr:clientData/>
  </xdr:twoCellAnchor>
  <xdr:twoCellAnchor>
    <xdr:from>
      <xdr:col>39</xdr:col>
      <xdr:colOff>99180</xdr:colOff>
      <xdr:row>0</xdr:row>
      <xdr:rowOff>50801</xdr:rowOff>
    </xdr:from>
    <xdr:to>
      <xdr:col>40</xdr:col>
      <xdr:colOff>302381</xdr:colOff>
      <xdr:row>2</xdr:row>
      <xdr:rowOff>60477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C83C78C3-36B2-45D2-920D-4DF1DAE1A638}"/>
            </a:ext>
          </a:extLst>
        </xdr:cNvPr>
        <xdr:cNvSpPr/>
      </xdr:nvSpPr>
      <xdr:spPr>
        <a:xfrm>
          <a:off x="14634330" y="50801"/>
          <a:ext cx="495301" cy="377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39</xdr:col>
      <xdr:colOff>247954</xdr:colOff>
      <xdr:row>0</xdr:row>
      <xdr:rowOff>60477</xdr:rowOff>
    </xdr:from>
    <xdr:to>
      <xdr:col>41</xdr:col>
      <xdr:colOff>514048</xdr:colOff>
      <xdr:row>2</xdr:row>
      <xdr:rowOff>60476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7D196DB6-CC9E-4791-9E2A-0D42EA30CC2B}"/>
            </a:ext>
          </a:extLst>
        </xdr:cNvPr>
        <xdr:cNvSpPr/>
      </xdr:nvSpPr>
      <xdr:spPr>
        <a:xfrm>
          <a:off x="14783104" y="60477"/>
          <a:ext cx="913794" cy="36829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LEAVE</a:t>
          </a:r>
        </a:p>
      </xdr:txBody>
    </xdr:sp>
    <xdr:clientData/>
  </xdr:twoCellAnchor>
  <xdr:twoCellAnchor>
    <xdr:from>
      <xdr:col>38</xdr:col>
      <xdr:colOff>214085</xdr:colOff>
      <xdr:row>0</xdr:row>
      <xdr:rowOff>50801</xdr:rowOff>
    </xdr:from>
    <xdr:to>
      <xdr:col>40</xdr:col>
      <xdr:colOff>163286</xdr:colOff>
      <xdr:row>2</xdr:row>
      <xdr:rowOff>60477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BE078D50-D6EF-44E5-BC75-9D3DD81227E1}"/>
            </a:ext>
          </a:extLst>
        </xdr:cNvPr>
        <xdr:cNvSpPr/>
      </xdr:nvSpPr>
      <xdr:spPr>
        <a:xfrm>
          <a:off x="14495235" y="50801"/>
          <a:ext cx="495301" cy="377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557648</xdr:colOff>
      <xdr:row>0</xdr:row>
      <xdr:rowOff>0</xdr:rowOff>
    </xdr:from>
    <xdr:to>
      <xdr:col>42</xdr:col>
      <xdr:colOff>290286</xdr:colOff>
      <xdr:row>2</xdr:row>
      <xdr:rowOff>156883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C7A21A1-0090-4680-8465-09DF0EB60357}"/>
            </a:ext>
          </a:extLst>
        </xdr:cNvPr>
        <xdr:cNvSpPr/>
      </xdr:nvSpPr>
      <xdr:spPr>
        <a:xfrm>
          <a:off x="1776848" y="0"/>
          <a:ext cx="14305888" cy="5251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KKKI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590550</xdr:colOff>
      <xdr:row>38</xdr:row>
      <xdr:rowOff>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C1CDFD1-9359-47C9-AFC8-FFFFCD557EB0}"/>
            </a:ext>
          </a:extLst>
        </xdr:cNvPr>
        <xdr:cNvSpPr/>
      </xdr:nvSpPr>
      <xdr:spPr>
        <a:xfrm>
          <a:off x="0" y="0"/>
          <a:ext cx="1809750" cy="703580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66146</xdr:colOff>
      <xdr:row>6</xdr:row>
      <xdr:rowOff>10583</xdr:rowOff>
    </xdr:from>
    <xdr:to>
      <xdr:col>2</xdr:col>
      <xdr:colOff>551921</xdr:colOff>
      <xdr:row>8</xdr:row>
      <xdr:rowOff>100541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197332-4E90-4ADB-ACC6-C25DF131C5D7}"/>
            </a:ext>
          </a:extLst>
        </xdr:cNvPr>
        <xdr:cNvSpPr/>
      </xdr:nvSpPr>
      <xdr:spPr>
        <a:xfrm>
          <a:off x="66146" y="1147233"/>
          <a:ext cx="1704975" cy="44555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February</a:t>
          </a:r>
          <a:endParaRPr lang="en-US" sz="1100"/>
        </a:p>
      </xdr:txBody>
    </xdr:sp>
    <xdr:clientData/>
  </xdr:twoCellAnchor>
  <xdr:twoCellAnchor>
    <xdr:from>
      <xdr:col>0</xdr:col>
      <xdr:colOff>68263</xdr:colOff>
      <xdr:row>8</xdr:row>
      <xdr:rowOff>185207</xdr:rowOff>
    </xdr:from>
    <xdr:to>
      <xdr:col>2</xdr:col>
      <xdr:colOff>554038</xdr:colOff>
      <xdr:row>11</xdr:row>
      <xdr:rowOff>95249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B223CB-A25F-465C-854F-66DFB14596DA}"/>
            </a:ext>
          </a:extLst>
        </xdr:cNvPr>
        <xdr:cNvSpPr/>
      </xdr:nvSpPr>
      <xdr:spPr>
        <a:xfrm>
          <a:off x="68263" y="1677457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March</a:t>
          </a:r>
          <a:endParaRPr lang="en-US" sz="1100"/>
        </a:p>
      </xdr:txBody>
    </xdr:sp>
    <xdr:clientData/>
  </xdr:twoCellAnchor>
  <xdr:twoCellAnchor>
    <xdr:from>
      <xdr:col>0</xdr:col>
      <xdr:colOff>79375</xdr:colOff>
      <xdr:row>14</xdr:row>
      <xdr:rowOff>129116</xdr:rowOff>
    </xdr:from>
    <xdr:to>
      <xdr:col>2</xdr:col>
      <xdr:colOff>565150</xdr:colOff>
      <xdr:row>17</xdr:row>
      <xdr:rowOff>39158</xdr:rowOff>
    </xdr:to>
    <xdr:sp macro="" textlink="">
      <xdr:nvSpPr>
        <xdr:cNvPr id="8" name="Rectangle: Rounded Corner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1EC35EB-2311-4F7F-8563-10DA04B2356B}"/>
            </a:ext>
          </a:extLst>
        </xdr:cNvPr>
        <xdr:cNvSpPr/>
      </xdr:nvSpPr>
      <xdr:spPr>
        <a:xfrm>
          <a:off x="79375" y="2726266"/>
          <a:ext cx="1704975" cy="4751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May</a:t>
          </a:r>
          <a:endParaRPr lang="en-US" sz="1100"/>
        </a:p>
      </xdr:txBody>
    </xdr:sp>
    <xdr:clientData/>
  </xdr:twoCellAnchor>
  <xdr:twoCellAnchor>
    <xdr:from>
      <xdr:col>0</xdr:col>
      <xdr:colOff>71968</xdr:colOff>
      <xdr:row>17</xdr:row>
      <xdr:rowOff>125411</xdr:rowOff>
    </xdr:from>
    <xdr:to>
      <xdr:col>2</xdr:col>
      <xdr:colOff>557743</xdr:colOff>
      <xdr:row>20</xdr:row>
      <xdr:rowOff>35453</xdr:rowOff>
    </xdr:to>
    <xdr:sp macro="" textlink="">
      <xdr:nvSpPr>
        <xdr:cNvPr id="9" name="Rectangle: Rounded Corner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5EEC073-3F8B-4133-8FAD-56C367A20A7F}"/>
            </a:ext>
          </a:extLst>
        </xdr:cNvPr>
        <xdr:cNvSpPr/>
      </xdr:nvSpPr>
      <xdr:spPr>
        <a:xfrm>
          <a:off x="71968" y="3287711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June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20</xdr:row>
      <xdr:rowOff>114299</xdr:rowOff>
    </xdr:from>
    <xdr:to>
      <xdr:col>2</xdr:col>
      <xdr:colOff>551921</xdr:colOff>
      <xdr:row>23</xdr:row>
      <xdr:rowOff>19049</xdr:rowOff>
    </xdr:to>
    <xdr:sp macro="" textlink="">
      <xdr:nvSpPr>
        <xdr:cNvPr id="10" name="Rectangle: Rounded Corner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733A5E0-1639-46D5-AEFC-AC769F86A56D}"/>
            </a:ext>
          </a:extLst>
        </xdr:cNvPr>
        <xdr:cNvSpPr/>
      </xdr:nvSpPr>
      <xdr:spPr>
        <a:xfrm>
          <a:off x="66146" y="3829049"/>
          <a:ext cx="1704975" cy="45720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July</a:t>
          </a:r>
          <a:endParaRPr lang="en-US" sz="1100"/>
        </a:p>
      </xdr:txBody>
    </xdr:sp>
    <xdr:clientData/>
  </xdr:twoCellAnchor>
  <xdr:twoCellAnchor>
    <xdr:from>
      <xdr:col>0</xdr:col>
      <xdr:colOff>71967</xdr:colOff>
      <xdr:row>23</xdr:row>
      <xdr:rowOff>86255</xdr:rowOff>
    </xdr:from>
    <xdr:to>
      <xdr:col>2</xdr:col>
      <xdr:colOff>557742</xdr:colOff>
      <xdr:row>25</xdr:row>
      <xdr:rowOff>176214</xdr:rowOff>
    </xdr:to>
    <xdr:sp macro="" textlink="">
      <xdr:nvSpPr>
        <xdr:cNvPr id="11" name="Rectangle: Rounded Corners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EE0FB17-F6BE-4758-93C7-23A18E795AD0}"/>
            </a:ext>
          </a:extLst>
        </xdr:cNvPr>
        <xdr:cNvSpPr/>
      </xdr:nvSpPr>
      <xdr:spPr>
        <a:xfrm>
          <a:off x="71967" y="4353455"/>
          <a:ext cx="1704975" cy="45825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August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26</xdr:row>
      <xdr:rowOff>58888</xdr:rowOff>
    </xdr:from>
    <xdr:to>
      <xdr:col>2</xdr:col>
      <xdr:colOff>551921</xdr:colOff>
      <xdr:row>28</xdr:row>
      <xdr:rowOff>146579</xdr:rowOff>
    </xdr:to>
    <xdr:sp macro="" textlink="">
      <xdr:nvSpPr>
        <xdr:cNvPr id="12" name="Rectangle: Rounded Corners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499855A-EAD9-4F57-A219-B9F291473E82}"/>
            </a:ext>
          </a:extLst>
        </xdr:cNvPr>
        <xdr:cNvSpPr/>
      </xdr:nvSpPr>
      <xdr:spPr>
        <a:xfrm>
          <a:off x="66146" y="4878538"/>
          <a:ext cx="1704975" cy="46234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Steptember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29</xdr:row>
      <xdr:rowOff>41880</xdr:rowOff>
    </xdr:from>
    <xdr:to>
      <xdr:col>2</xdr:col>
      <xdr:colOff>551921</xdr:colOff>
      <xdr:row>31</xdr:row>
      <xdr:rowOff>129571</xdr:rowOff>
    </xdr:to>
    <xdr:sp macro="" textlink="">
      <xdr:nvSpPr>
        <xdr:cNvPr id="13" name="Rectangle: Rounded Corners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A9891F6-A0F9-4707-9720-83738B24DE15}"/>
            </a:ext>
          </a:extLst>
        </xdr:cNvPr>
        <xdr:cNvSpPr/>
      </xdr:nvSpPr>
      <xdr:spPr>
        <a:xfrm>
          <a:off x="66146" y="5420330"/>
          <a:ext cx="1704975" cy="45599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October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32</xdr:row>
      <xdr:rowOff>8165</xdr:rowOff>
    </xdr:from>
    <xdr:to>
      <xdr:col>2</xdr:col>
      <xdr:colOff>551921</xdr:colOff>
      <xdr:row>34</xdr:row>
      <xdr:rowOff>103415</xdr:rowOff>
    </xdr:to>
    <xdr:sp macro="" textlink="">
      <xdr:nvSpPr>
        <xdr:cNvPr id="14" name="Rectangle: Rounded Corners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2601486-C713-4486-9652-258A2BC45FDE}"/>
            </a:ext>
          </a:extLst>
        </xdr:cNvPr>
        <xdr:cNvSpPr/>
      </xdr:nvSpPr>
      <xdr:spPr>
        <a:xfrm>
          <a:off x="66146" y="5939065"/>
          <a:ext cx="1704975" cy="46355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November</a:t>
          </a:r>
          <a:endParaRPr lang="en-US" sz="1100"/>
        </a:p>
      </xdr:txBody>
    </xdr:sp>
    <xdr:clientData/>
  </xdr:twoCellAnchor>
  <xdr:twoCellAnchor>
    <xdr:from>
      <xdr:col>0</xdr:col>
      <xdr:colOff>79376</xdr:colOff>
      <xdr:row>34</xdr:row>
      <xdr:rowOff>183773</xdr:rowOff>
    </xdr:from>
    <xdr:to>
      <xdr:col>2</xdr:col>
      <xdr:colOff>565151</xdr:colOff>
      <xdr:row>37</xdr:row>
      <xdr:rowOff>93814</xdr:rowOff>
    </xdr:to>
    <xdr:sp macro="" textlink="">
      <xdr:nvSpPr>
        <xdr:cNvPr id="15" name="Rectangle: Rounded Corner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11760AC-2A6C-4A18-9387-029AFA23AA4B}"/>
            </a:ext>
          </a:extLst>
        </xdr:cNvPr>
        <xdr:cNvSpPr/>
      </xdr:nvSpPr>
      <xdr:spPr>
        <a:xfrm>
          <a:off x="79376" y="6482973"/>
          <a:ext cx="1704975" cy="46249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December</a:t>
          </a:r>
          <a:endParaRPr lang="en-US" sz="1100"/>
        </a:p>
      </xdr:txBody>
    </xdr:sp>
    <xdr:clientData/>
  </xdr:twoCellAnchor>
  <xdr:twoCellAnchor>
    <xdr:from>
      <xdr:col>42</xdr:col>
      <xdr:colOff>597648</xdr:colOff>
      <xdr:row>0</xdr:row>
      <xdr:rowOff>0</xdr:rowOff>
    </xdr:from>
    <xdr:to>
      <xdr:col>57</xdr:col>
      <xdr:colOff>14942</xdr:colOff>
      <xdr:row>2</xdr:row>
      <xdr:rowOff>171824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9274051-6C4A-4B99-98C8-CE30B10D0996}"/>
            </a:ext>
          </a:extLst>
        </xdr:cNvPr>
        <xdr:cNvSpPr/>
      </xdr:nvSpPr>
      <xdr:spPr>
        <a:xfrm>
          <a:off x="16390098" y="0"/>
          <a:ext cx="9710644" cy="5401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chemeClr val="bg1"/>
              </a:solidFill>
            </a:rPr>
            <a:t>Monthly</a:t>
          </a:r>
          <a:r>
            <a:rPr lang="en-US" sz="2800" b="1" baseline="0">
              <a:solidFill>
                <a:schemeClr val="bg1"/>
              </a:solidFill>
            </a:rPr>
            <a:t> Report</a:t>
          </a:r>
          <a:endParaRPr lang="en-US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528632</xdr:colOff>
      <xdr:row>0</xdr:row>
      <xdr:rowOff>145304</xdr:rowOff>
    </xdr:from>
    <xdr:to>
      <xdr:col>4</xdr:col>
      <xdr:colOff>506218</xdr:colOff>
      <xdr:row>2</xdr:row>
      <xdr:rowOff>69134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5B3017D6-404B-49D3-B943-04BA69DF76D3}"/>
            </a:ext>
          </a:extLst>
        </xdr:cNvPr>
        <xdr:cNvSpPr/>
      </xdr:nvSpPr>
      <xdr:spPr>
        <a:xfrm>
          <a:off x="1747832" y="145304"/>
          <a:ext cx="1196786" cy="29213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FROM</a:t>
          </a:r>
        </a:p>
      </xdr:txBody>
    </xdr:sp>
    <xdr:clientData/>
  </xdr:twoCellAnchor>
  <xdr:twoCellAnchor>
    <xdr:from>
      <xdr:col>7</xdr:col>
      <xdr:colOff>83384</xdr:colOff>
      <xdr:row>0</xdr:row>
      <xdr:rowOff>140822</xdr:rowOff>
    </xdr:from>
    <xdr:to>
      <xdr:col>8</xdr:col>
      <xdr:colOff>471853</xdr:colOff>
      <xdr:row>2</xdr:row>
      <xdr:rowOff>64652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23D5C9F-0A7E-4435-B6D3-8E5ADB573086}"/>
            </a:ext>
          </a:extLst>
        </xdr:cNvPr>
        <xdr:cNvSpPr/>
      </xdr:nvSpPr>
      <xdr:spPr>
        <a:xfrm>
          <a:off x="4604584" y="140822"/>
          <a:ext cx="1207619" cy="29213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TO</a:t>
          </a:r>
        </a:p>
        <a:p>
          <a:pPr marL="0" indent="0" algn="ctr"/>
          <a:endParaRPr lang="en-US" sz="16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494264</xdr:colOff>
      <xdr:row>0</xdr:row>
      <xdr:rowOff>148292</xdr:rowOff>
    </xdr:from>
    <xdr:to>
      <xdr:col>6</xdr:col>
      <xdr:colOff>471851</xdr:colOff>
      <xdr:row>2</xdr:row>
      <xdr:rowOff>72122</xdr:rowOff>
    </xdr:to>
    <xdr:sp macro="" textlink="$G$5">
      <xdr:nvSpPr>
        <xdr:cNvPr id="19" name="Rectangle 18">
          <a:extLst>
            <a:ext uri="{FF2B5EF4-FFF2-40B4-BE49-F238E27FC236}">
              <a16:creationId xmlns:a16="http://schemas.microsoft.com/office/drawing/2014/main" id="{DEE9158D-194C-4D4F-85EE-42BE43FB0ED4}"/>
            </a:ext>
          </a:extLst>
        </xdr:cNvPr>
        <xdr:cNvSpPr/>
      </xdr:nvSpPr>
      <xdr:spPr>
        <a:xfrm>
          <a:off x="2932664" y="148292"/>
          <a:ext cx="1196787" cy="29213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1BAFFE97-76C2-4FA9-8172-754635694528}" type="TxLink">
            <a:rPr lang="en-US" sz="1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pPr algn="ctr"/>
            <a:t>01-Apr-2025</a:t>
          </a:fld>
          <a:endParaRPr lang="en-US" sz="1400"/>
        </a:p>
      </xdr:txBody>
    </xdr:sp>
    <xdr:clientData/>
  </xdr:twoCellAnchor>
  <xdr:twoCellAnchor>
    <xdr:from>
      <xdr:col>8</xdr:col>
      <xdr:colOff>490329</xdr:colOff>
      <xdr:row>0</xdr:row>
      <xdr:rowOff>134874</xdr:rowOff>
    </xdr:from>
    <xdr:to>
      <xdr:col>11</xdr:col>
      <xdr:colOff>19680</xdr:colOff>
      <xdr:row>2</xdr:row>
      <xdr:rowOff>58704</xdr:rowOff>
    </xdr:to>
    <xdr:sp macro="" textlink="$M$5">
      <xdr:nvSpPr>
        <xdr:cNvPr id="20" name="Rectangle 19">
          <a:extLst>
            <a:ext uri="{FF2B5EF4-FFF2-40B4-BE49-F238E27FC236}">
              <a16:creationId xmlns:a16="http://schemas.microsoft.com/office/drawing/2014/main" id="{8AA92038-F3F5-46AC-8D80-86BB46BB7BE6}"/>
            </a:ext>
          </a:extLst>
        </xdr:cNvPr>
        <xdr:cNvSpPr/>
      </xdr:nvSpPr>
      <xdr:spPr>
        <a:xfrm>
          <a:off x="5830679" y="134874"/>
          <a:ext cx="1212101" cy="29213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F18C7413-8E99-44FA-A55E-E2450FCA2E79}" type="TxLink">
            <a:rPr lang="en-US" sz="1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pPr algn="ctr"/>
            <a:t>30-Apr-2025</a:t>
          </a:fld>
          <a:endParaRPr lang="en-US" sz="1400"/>
        </a:p>
      </xdr:txBody>
    </xdr:sp>
    <xdr:clientData/>
  </xdr:twoCellAnchor>
  <xdr:twoCellAnchor>
    <xdr:from>
      <xdr:col>12</xdr:col>
      <xdr:colOff>189385</xdr:colOff>
      <xdr:row>0</xdr:row>
      <xdr:rowOff>87923</xdr:rowOff>
    </xdr:from>
    <xdr:to>
      <xdr:col>24</xdr:col>
      <xdr:colOff>189802</xdr:colOff>
      <xdr:row>2</xdr:row>
      <xdr:rowOff>113489</xdr:rowOff>
    </xdr:to>
    <xdr:sp macro="" textlink="$M$5">
      <xdr:nvSpPr>
        <xdr:cNvPr id="21" name="Rectangle 20">
          <a:extLst>
            <a:ext uri="{FF2B5EF4-FFF2-40B4-BE49-F238E27FC236}">
              <a16:creationId xmlns:a16="http://schemas.microsoft.com/office/drawing/2014/main" id="{E49EBBD0-FC60-434E-AFBC-3AA4B7B9A97B}"/>
            </a:ext>
          </a:extLst>
        </xdr:cNvPr>
        <xdr:cNvSpPr/>
      </xdr:nvSpPr>
      <xdr:spPr>
        <a:xfrm>
          <a:off x="7490028" y="87923"/>
          <a:ext cx="3257113" cy="396911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Dashboard</a:t>
          </a:r>
          <a:r>
            <a:rPr lang="en-US" sz="2400" baseline="0"/>
            <a:t> For Month   f </a:t>
          </a:r>
          <a:endParaRPr lang="en-US" sz="2400"/>
        </a:p>
      </xdr:txBody>
    </xdr:sp>
    <xdr:clientData/>
  </xdr:twoCellAnchor>
  <xdr:twoCellAnchor>
    <xdr:from>
      <xdr:col>23</xdr:col>
      <xdr:colOff>148863</xdr:colOff>
      <xdr:row>0</xdr:row>
      <xdr:rowOff>88473</xdr:rowOff>
    </xdr:from>
    <xdr:to>
      <xdr:col>29</xdr:col>
      <xdr:colOff>122042</xdr:colOff>
      <xdr:row>2</xdr:row>
      <xdr:rowOff>114414</xdr:rowOff>
    </xdr:to>
    <xdr:sp macro="" textlink="$I$4">
      <xdr:nvSpPr>
        <xdr:cNvPr id="22" name="Rectangle 21">
          <a:extLst>
            <a:ext uri="{FF2B5EF4-FFF2-40B4-BE49-F238E27FC236}">
              <a16:creationId xmlns:a16="http://schemas.microsoft.com/office/drawing/2014/main" id="{2F276658-D929-4F7F-8C07-3C7D94A000CA}"/>
            </a:ext>
          </a:extLst>
        </xdr:cNvPr>
        <xdr:cNvSpPr/>
      </xdr:nvSpPr>
      <xdr:spPr>
        <a:xfrm flipH="1">
          <a:off x="10524343" y="88473"/>
          <a:ext cx="1555912" cy="395881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7CCC7E4-D351-43A5-B697-CE8115FFBC59}" type="TxLink">
            <a:rPr lang="en-US" sz="2400" b="0" i="0" u="none" strike="noStrike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Narrow"/>
            </a:rPr>
            <a:pPr algn="l"/>
            <a:t>April</a:t>
          </a:fld>
          <a:endParaRPr lang="en-US" sz="2400" b="0" cap="none" spc="0">
            <a:ln w="0"/>
            <a:solidFill>
              <a:schemeClr val="accent2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90337</xdr:colOff>
      <xdr:row>3</xdr:row>
      <xdr:rowOff>48381</xdr:rowOff>
    </xdr:from>
    <xdr:to>
      <xdr:col>2</xdr:col>
      <xdr:colOff>573089</xdr:colOff>
      <xdr:row>5</xdr:row>
      <xdr:rowOff>114149</xdr:rowOff>
    </xdr:to>
    <xdr:sp macro="" textlink="">
      <xdr:nvSpPr>
        <xdr:cNvPr id="23" name="Rectangle: Rounded Corners 2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C7BCA59-2E0C-4B11-91ED-623F50A9FE3B}"/>
            </a:ext>
          </a:extLst>
        </xdr:cNvPr>
        <xdr:cNvSpPr/>
      </xdr:nvSpPr>
      <xdr:spPr>
        <a:xfrm>
          <a:off x="90337" y="592667"/>
          <a:ext cx="1698323" cy="437696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January</a:t>
          </a:r>
          <a:endParaRPr lang="en-US" sz="1100"/>
        </a:p>
      </xdr:txBody>
    </xdr:sp>
    <xdr:clientData/>
  </xdr:twoCellAnchor>
  <xdr:twoCellAnchor editAs="oneCell">
    <xdr:from>
      <xdr:col>22</xdr:col>
      <xdr:colOff>82441</xdr:colOff>
      <xdr:row>1</xdr:row>
      <xdr:rowOff>89442</xdr:rowOff>
    </xdr:from>
    <xdr:to>
      <xdr:col>23</xdr:col>
      <xdr:colOff>34058</xdr:colOff>
      <xdr:row>2</xdr:row>
      <xdr:rowOff>119679</xdr:rowOff>
    </xdr:to>
    <xdr:pic>
      <xdr:nvPicPr>
        <xdr:cNvPr id="24" name="Graphic 23" descr="Magnifying glass with solid fill">
          <a:extLst>
            <a:ext uri="{FF2B5EF4-FFF2-40B4-BE49-F238E27FC236}">
              <a16:creationId xmlns:a16="http://schemas.microsoft.com/office/drawing/2014/main" id="{BF41BA37-38BA-48A5-8F03-D3F3AD64D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 rot="5400000">
          <a:off x="10212680" y="276759"/>
          <a:ext cx="216440" cy="214211"/>
        </a:xfrm>
        <a:prstGeom prst="rect">
          <a:avLst/>
        </a:prstGeom>
      </xdr:spPr>
    </xdr:pic>
    <xdr:clientData/>
  </xdr:twoCellAnchor>
  <xdr:twoCellAnchor>
    <xdr:from>
      <xdr:col>30</xdr:col>
      <xdr:colOff>18141</xdr:colOff>
      <xdr:row>0</xdr:row>
      <xdr:rowOff>66525</xdr:rowOff>
    </xdr:from>
    <xdr:to>
      <xdr:col>32</xdr:col>
      <xdr:colOff>84666</xdr:colOff>
      <xdr:row>2</xdr:row>
      <xdr:rowOff>54429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6784D310-9B1E-4089-BD9B-6309338C7909}"/>
            </a:ext>
          </a:extLst>
        </xdr:cNvPr>
        <xdr:cNvSpPr/>
      </xdr:nvSpPr>
      <xdr:spPr>
        <a:xfrm>
          <a:off x="12241891" y="66525"/>
          <a:ext cx="511025" cy="3562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🟢</a:t>
          </a:r>
        </a:p>
      </xdr:txBody>
    </xdr:sp>
    <xdr:clientData/>
  </xdr:twoCellAnchor>
  <xdr:twoCellAnchor>
    <xdr:from>
      <xdr:col>35</xdr:col>
      <xdr:colOff>72574</xdr:colOff>
      <xdr:row>0</xdr:row>
      <xdr:rowOff>84668</xdr:rowOff>
    </xdr:from>
    <xdr:to>
      <xdr:col>38</xdr:col>
      <xdr:colOff>223764</xdr:colOff>
      <xdr:row>2</xdr:row>
      <xdr:rowOff>48382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FA0E259-02F3-477F-9379-CB66CE171FF5}"/>
            </a:ext>
          </a:extLst>
        </xdr:cNvPr>
        <xdr:cNvSpPr/>
      </xdr:nvSpPr>
      <xdr:spPr>
        <a:xfrm>
          <a:off x="13579024" y="84668"/>
          <a:ext cx="925890" cy="33201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ABSENT</a:t>
          </a:r>
        </a:p>
      </xdr:txBody>
    </xdr:sp>
    <xdr:clientData/>
  </xdr:twoCellAnchor>
  <xdr:twoCellAnchor>
    <xdr:from>
      <xdr:col>34</xdr:col>
      <xdr:colOff>85877</xdr:colOff>
      <xdr:row>0</xdr:row>
      <xdr:rowOff>61685</xdr:rowOff>
    </xdr:from>
    <xdr:to>
      <xdr:col>35</xdr:col>
      <xdr:colOff>266096</xdr:colOff>
      <xdr:row>2</xdr:row>
      <xdr:rowOff>42333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84749025-498E-4BA7-AAC0-5D865FF39552}"/>
            </a:ext>
          </a:extLst>
        </xdr:cNvPr>
        <xdr:cNvSpPr/>
      </xdr:nvSpPr>
      <xdr:spPr>
        <a:xfrm>
          <a:off x="13331977" y="61685"/>
          <a:ext cx="440569" cy="34894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US" sz="1100"/>
            <a:t>🔴</a:t>
          </a:r>
        </a:p>
      </xdr:txBody>
    </xdr:sp>
    <xdr:clientData/>
  </xdr:twoCellAnchor>
  <xdr:twoCellAnchor>
    <xdr:from>
      <xdr:col>31</xdr:col>
      <xdr:colOff>181429</xdr:colOff>
      <xdr:row>0</xdr:row>
      <xdr:rowOff>127001</xdr:rowOff>
    </xdr:from>
    <xdr:to>
      <xdr:col>34</xdr:col>
      <xdr:colOff>127000</xdr:colOff>
      <xdr:row>2</xdr:row>
      <xdr:rowOff>24191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14E1EF7-AED8-4B9A-863C-32A6D01C4A11}"/>
            </a:ext>
          </a:extLst>
        </xdr:cNvPr>
        <xdr:cNvSpPr/>
      </xdr:nvSpPr>
      <xdr:spPr>
        <a:xfrm>
          <a:off x="12608379" y="127001"/>
          <a:ext cx="764721" cy="26549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PRESENT</a:t>
          </a:r>
        </a:p>
      </xdr:txBody>
    </xdr:sp>
    <xdr:clientData/>
  </xdr:twoCellAnchor>
  <xdr:twoCellAnchor>
    <xdr:from>
      <xdr:col>40</xdr:col>
      <xdr:colOff>96764</xdr:colOff>
      <xdr:row>0</xdr:row>
      <xdr:rowOff>60477</xdr:rowOff>
    </xdr:from>
    <xdr:to>
      <xdr:col>42</xdr:col>
      <xdr:colOff>42334</xdr:colOff>
      <xdr:row>2</xdr:row>
      <xdr:rowOff>60476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DDFE36F5-9773-4A18-BC44-0132F75634E2}"/>
            </a:ext>
          </a:extLst>
        </xdr:cNvPr>
        <xdr:cNvSpPr/>
      </xdr:nvSpPr>
      <xdr:spPr>
        <a:xfrm>
          <a:off x="14924014" y="60477"/>
          <a:ext cx="910770" cy="36829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LEAVE</a:t>
          </a:r>
        </a:p>
      </xdr:txBody>
    </xdr:sp>
    <xdr:clientData/>
  </xdr:twoCellAnchor>
  <xdr:twoCellAnchor>
    <xdr:from>
      <xdr:col>39</xdr:col>
      <xdr:colOff>99180</xdr:colOff>
      <xdr:row>0</xdr:row>
      <xdr:rowOff>50801</xdr:rowOff>
    </xdr:from>
    <xdr:to>
      <xdr:col>40</xdr:col>
      <xdr:colOff>302381</xdr:colOff>
      <xdr:row>2</xdr:row>
      <xdr:rowOff>60477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A13534AB-DAC2-49E6-A59E-38B8CF9D194A}"/>
            </a:ext>
          </a:extLst>
        </xdr:cNvPr>
        <xdr:cNvSpPr/>
      </xdr:nvSpPr>
      <xdr:spPr>
        <a:xfrm>
          <a:off x="14634330" y="50801"/>
          <a:ext cx="495301" cy="377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39</xdr:col>
      <xdr:colOff>247954</xdr:colOff>
      <xdr:row>0</xdr:row>
      <xdr:rowOff>60477</xdr:rowOff>
    </xdr:from>
    <xdr:to>
      <xdr:col>41</xdr:col>
      <xdr:colOff>514048</xdr:colOff>
      <xdr:row>2</xdr:row>
      <xdr:rowOff>60476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3877FB34-D100-491B-BBAE-040AD81BF4D3}"/>
            </a:ext>
          </a:extLst>
        </xdr:cNvPr>
        <xdr:cNvSpPr/>
      </xdr:nvSpPr>
      <xdr:spPr>
        <a:xfrm>
          <a:off x="14783104" y="60477"/>
          <a:ext cx="913794" cy="36829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LEAVE</a:t>
          </a:r>
        </a:p>
      </xdr:txBody>
    </xdr:sp>
    <xdr:clientData/>
  </xdr:twoCellAnchor>
  <xdr:twoCellAnchor>
    <xdr:from>
      <xdr:col>38</xdr:col>
      <xdr:colOff>214085</xdr:colOff>
      <xdr:row>0</xdr:row>
      <xdr:rowOff>50801</xdr:rowOff>
    </xdr:from>
    <xdr:to>
      <xdr:col>40</xdr:col>
      <xdr:colOff>163286</xdr:colOff>
      <xdr:row>2</xdr:row>
      <xdr:rowOff>60477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42FB4BE-2D38-4B97-963C-2BBC49B0CA25}"/>
            </a:ext>
          </a:extLst>
        </xdr:cNvPr>
        <xdr:cNvSpPr/>
      </xdr:nvSpPr>
      <xdr:spPr>
        <a:xfrm>
          <a:off x="14495235" y="50801"/>
          <a:ext cx="495301" cy="377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1</xdr:col>
      <xdr:colOff>104548</xdr:colOff>
      <xdr:row>11</xdr:row>
      <xdr:rowOff>156708</xdr:rowOff>
    </xdr:from>
    <xdr:to>
      <xdr:col>3</xdr:col>
      <xdr:colOff>590323</xdr:colOff>
      <xdr:row>14</xdr:row>
      <xdr:rowOff>66750</xdr:rowOff>
    </xdr:to>
    <xdr:sp macro="" textlink="">
      <xdr:nvSpPr>
        <xdr:cNvPr id="33" name="Rectangle: Rounded Corners 3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3A4B9EA-198C-DDB7-65DA-05B74696E243}"/>
            </a:ext>
          </a:extLst>
        </xdr:cNvPr>
        <xdr:cNvSpPr/>
      </xdr:nvSpPr>
      <xdr:spPr>
        <a:xfrm>
          <a:off x="712334" y="2188708"/>
          <a:ext cx="1701346" cy="454328"/>
        </a:xfrm>
        <a:prstGeom prst="roundRect">
          <a:avLst/>
        </a:prstGeom>
        <a:solidFill>
          <a:schemeClr val="bg2"/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April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557648</xdr:colOff>
      <xdr:row>0</xdr:row>
      <xdr:rowOff>0</xdr:rowOff>
    </xdr:from>
    <xdr:to>
      <xdr:col>42</xdr:col>
      <xdr:colOff>290286</xdr:colOff>
      <xdr:row>2</xdr:row>
      <xdr:rowOff>156883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BA51475-0082-4EDD-AD47-84D7F701B62E}"/>
            </a:ext>
          </a:extLst>
        </xdr:cNvPr>
        <xdr:cNvSpPr/>
      </xdr:nvSpPr>
      <xdr:spPr>
        <a:xfrm>
          <a:off x="1776848" y="0"/>
          <a:ext cx="14305888" cy="5251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KKKI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590550</xdr:colOff>
      <xdr:row>38</xdr:row>
      <xdr:rowOff>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FFAB60F-580C-4228-9631-68F8495F8CB1}"/>
            </a:ext>
          </a:extLst>
        </xdr:cNvPr>
        <xdr:cNvSpPr/>
      </xdr:nvSpPr>
      <xdr:spPr>
        <a:xfrm>
          <a:off x="0" y="0"/>
          <a:ext cx="1809750" cy="703580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66146</xdr:colOff>
      <xdr:row>6</xdr:row>
      <xdr:rowOff>10583</xdr:rowOff>
    </xdr:from>
    <xdr:to>
      <xdr:col>2</xdr:col>
      <xdr:colOff>551921</xdr:colOff>
      <xdr:row>8</xdr:row>
      <xdr:rowOff>100541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33DB77-18E8-4E53-859B-257744EEF77C}"/>
            </a:ext>
          </a:extLst>
        </xdr:cNvPr>
        <xdr:cNvSpPr/>
      </xdr:nvSpPr>
      <xdr:spPr>
        <a:xfrm>
          <a:off x="66146" y="1147233"/>
          <a:ext cx="1704975" cy="44555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February</a:t>
          </a:r>
          <a:endParaRPr lang="en-US" sz="1100"/>
        </a:p>
      </xdr:txBody>
    </xdr:sp>
    <xdr:clientData/>
  </xdr:twoCellAnchor>
  <xdr:twoCellAnchor>
    <xdr:from>
      <xdr:col>0</xdr:col>
      <xdr:colOff>68263</xdr:colOff>
      <xdr:row>8</xdr:row>
      <xdr:rowOff>185207</xdr:rowOff>
    </xdr:from>
    <xdr:to>
      <xdr:col>2</xdr:col>
      <xdr:colOff>554038</xdr:colOff>
      <xdr:row>11</xdr:row>
      <xdr:rowOff>95249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F50AB2-3CC6-4BE5-8EB0-414FA2C73A33}"/>
            </a:ext>
          </a:extLst>
        </xdr:cNvPr>
        <xdr:cNvSpPr/>
      </xdr:nvSpPr>
      <xdr:spPr>
        <a:xfrm>
          <a:off x="68263" y="1677457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March</a:t>
          </a:r>
          <a:endParaRPr lang="en-US" sz="1100"/>
        </a:p>
      </xdr:txBody>
    </xdr:sp>
    <xdr:clientData/>
  </xdr:twoCellAnchor>
  <xdr:twoCellAnchor>
    <xdr:from>
      <xdr:col>0</xdr:col>
      <xdr:colOff>68263</xdr:colOff>
      <xdr:row>11</xdr:row>
      <xdr:rowOff>147636</xdr:rowOff>
    </xdr:from>
    <xdr:to>
      <xdr:col>2</xdr:col>
      <xdr:colOff>554038</xdr:colOff>
      <xdr:row>14</xdr:row>
      <xdr:rowOff>57678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A96D1FF-B5E2-4976-8EE6-D172153E779D}"/>
            </a:ext>
          </a:extLst>
        </xdr:cNvPr>
        <xdr:cNvSpPr/>
      </xdr:nvSpPr>
      <xdr:spPr>
        <a:xfrm>
          <a:off x="68263" y="2192336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April</a:t>
          </a:r>
          <a:endParaRPr lang="en-US" sz="1100"/>
        </a:p>
      </xdr:txBody>
    </xdr:sp>
    <xdr:clientData/>
  </xdr:twoCellAnchor>
  <xdr:twoCellAnchor>
    <xdr:from>
      <xdr:col>1</xdr:col>
      <xdr:colOff>127000</xdr:colOff>
      <xdr:row>14</xdr:row>
      <xdr:rowOff>137054</xdr:rowOff>
    </xdr:from>
    <xdr:to>
      <xdr:col>4</xdr:col>
      <xdr:colOff>1588</xdr:colOff>
      <xdr:row>17</xdr:row>
      <xdr:rowOff>47096</xdr:rowOff>
    </xdr:to>
    <xdr:sp macro="" textlink="">
      <xdr:nvSpPr>
        <xdr:cNvPr id="8" name="Rectangle: Rounded Corner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3E07796-D443-43B6-98C7-F4C69F995680}"/>
            </a:ext>
          </a:extLst>
        </xdr:cNvPr>
        <xdr:cNvSpPr/>
      </xdr:nvSpPr>
      <xdr:spPr>
        <a:xfrm>
          <a:off x="738188" y="2756429"/>
          <a:ext cx="1708150" cy="473605"/>
        </a:xfrm>
        <a:prstGeom prst="roundRect">
          <a:avLst/>
        </a:prstGeom>
        <a:solidFill>
          <a:schemeClr val="bg2"/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May</a:t>
          </a:r>
          <a:endParaRPr lang="en-US" sz="1100"/>
        </a:p>
      </xdr:txBody>
    </xdr:sp>
    <xdr:clientData/>
  </xdr:twoCellAnchor>
  <xdr:twoCellAnchor>
    <xdr:from>
      <xdr:col>0</xdr:col>
      <xdr:colOff>71968</xdr:colOff>
      <xdr:row>17</xdr:row>
      <xdr:rowOff>125411</xdr:rowOff>
    </xdr:from>
    <xdr:to>
      <xdr:col>2</xdr:col>
      <xdr:colOff>557743</xdr:colOff>
      <xdr:row>20</xdr:row>
      <xdr:rowOff>35453</xdr:rowOff>
    </xdr:to>
    <xdr:sp macro="" textlink="">
      <xdr:nvSpPr>
        <xdr:cNvPr id="9" name="Rectangle: Rounded Corner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C071F4F-D242-46CE-AEB6-03E1CFE3AB52}"/>
            </a:ext>
          </a:extLst>
        </xdr:cNvPr>
        <xdr:cNvSpPr/>
      </xdr:nvSpPr>
      <xdr:spPr>
        <a:xfrm>
          <a:off x="71968" y="3287711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June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20</xdr:row>
      <xdr:rowOff>114299</xdr:rowOff>
    </xdr:from>
    <xdr:to>
      <xdr:col>2</xdr:col>
      <xdr:colOff>551921</xdr:colOff>
      <xdr:row>23</xdr:row>
      <xdr:rowOff>19049</xdr:rowOff>
    </xdr:to>
    <xdr:sp macro="" textlink="">
      <xdr:nvSpPr>
        <xdr:cNvPr id="10" name="Rectangle: Rounded Corner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5E3E92B-252F-4609-B694-36AE721F1353}"/>
            </a:ext>
          </a:extLst>
        </xdr:cNvPr>
        <xdr:cNvSpPr/>
      </xdr:nvSpPr>
      <xdr:spPr>
        <a:xfrm>
          <a:off x="66146" y="3829049"/>
          <a:ext cx="1704975" cy="45720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July</a:t>
          </a:r>
          <a:endParaRPr lang="en-US" sz="1100"/>
        </a:p>
      </xdr:txBody>
    </xdr:sp>
    <xdr:clientData/>
  </xdr:twoCellAnchor>
  <xdr:twoCellAnchor>
    <xdr:from>
      <xdr:col>0</xdr:col>
      <xdr:colOff>71967</xdr:colOff>
      <xdr:row>23</xdr:row>
      <xdr:rowOff>86255</xdr:rowOff>
    </xdr:from>
    <xdr:to>
      <xdr:col>2</xdr:col>
      <xdr:colOff>557742</xdr:colOff>
      <xdr:row>25</xdr:row>
      <xdr:rowOff>176214</xdr:rowOff>
    </xdr:to>
    <xdr:sp macro="" textlink="">
      <xdr:nvSpPr>
        <xdr:cNvPr id="11" name="Rectangle: Rounded Corner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F890DA5-9667-42CA-BD5A-49A02B731FF6}"/>
            </a:ext>
          </a:extLst>
        </xdr:cNvPr>
        <xdr:cNvSpPr/>
      </xdr:nvSpPr>
      <xdr:spPr>
        <a:xfrm>
          <a:off x="71967" y="4353455"/>
          <a:ext cx="1704975" cy="45825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August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26</xdr:row>
      <xdr:rowOff>58888</xdr:rowOff>
    </xdr:from>
    <xdr:to>
      <xdr:col>2</xdr:col>
      <xdr:colOff>551921</xdr:colOff>
      <xdr:row>28</xdr:row>
      <xdr:rowOff>146579</xdr:rowOff>
    </xdr:to>
    <xdr:sp macro="" textlink="">
      <xdr:nvSpPr>
        <xdr:cNvPr id="12" name="Rectangle: Rounded Corner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2F48420-6ACE-448C-B063-3C5B110CC458}"/>
            </a:ext>
          </a:extLst>
        </xdr:cNvPr>
        <xdr:cNvSpPr/>
      </xdr:nvSpPr>
      <xdr:spPr>
        <a:xfrm>
          <a:off x="66146" y="4878538"/>
          <a:ext cx="1704975" cy="46234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Steptember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29</xdr:row>
      <xdr:rowOff>41880</xdr:rowOff>
    </xdr:from>
    <xdr:to>
      <xdr:col>2</xdr:col>
      <xdr:colOff>551921</xdr:colOff>
      <xdr:row>31</xdr:row>
      <xdr:rowOff>129571</xdr:rowOff>
    </xdr:to>
    <xdr:sp macro="" textlink="">
      <xdr:nvSpPr>
        <xdr:cNvPr id="13" name="Rectangle: Rounded Corner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6651774-3132-48A6-AF00-86460215652C}"/>
            </a:ext>
          </a:extLst>
        </xdr:cNvPr>
        <xdr:cNvSpPr/>
      </xdr:nvSpPr>
      <xdr:spPr>
        <a:xfrm>
          <a:off x="66146" y="5420330"/>
          <a:ext cx="1704975" cy="45599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October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32</xdr:row>
      <xdr:rowOff>8165</xdr:rowOff>
    </xdr:from>
    <xdr:to>
      <xdr:col>2</xdr:col>
      <xdr:colOff>551921</xdr:colOff>
      <xdr:row>34</xdr:row>
      <xdr:rowOff>103415</xdr:rowOff>
    </xdr:to>
    <xdr:sp macro="" textlink="">
      <xdr:nvSpPr>
        <xdr:cNvPr id="14" name="Rectangle: Rounded Corners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3E97139-26D7-455A-A605-81BDCAF69C7A}"/>
            </a:ext>
          </a:extLst>
        </xdr:cNvPr>
        <xdr:cNvSpPr/>
      </xdr:nvSpPr>
      <xdr:spPr>
        <a:xfrm>
          <a:off x="66146" y="5939065"/>
          <a:ext cx="1704975" cy="46355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November</a:t>
          </a:r>
          <a:endParaRPr lang="en-US" sz="1100"/>
        </a:p>
      </xdr:txBody>
    </xdr:sp>
    <xdr:clientData/>
  </xdr:twoCellAnchor>
  <xdr:twoCellAnchor>
    <xdr:from>
      <xdr:col>0</xdr:col>
      <xdr:colOff>79376</xdr:colOff>
      <xdr:row>34</xdr:row>
      <xdr:rowOff>183773</xdr:rowOff>
    </xdr:from>
    <xdr:to>
      <xdr:col>2</xdr:col>
      <xdr:colOff>565151</xdr:colOff>
      <xdr:row>37</xdr:row>
      <xdr:rowOff>93814</xdr:rowOff>
    </xdr:to>
    <xdr:sp macro="" textlink="">
      <xdr:nvSpPr>
        <xdr:cNvPr id="15" name="Rectangle: Rounded Corners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1BF081E-CF42-441E-936C-CBBAC9DA1AA2}"/>
            </a:ext>
          </a:extLst>
        </xdr:cNvPr>
        <xdr:cNvSpPr/>
      </xdr:nvSpPr>
      <xdr:spPr>
        <a:xfrm>
          <a:off x="79376" y="6482973"/>
          <a:ext cx="1704975" cy="46249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December</a:t>
          </a:r>
          <a:endParaRPr lang="en-US" sz="1100"/>
        </a:p>
      </xdr:txBody>
    </xdr:sp>
    <xdr:clientData/>
  </xdr:twoCellAnchor>
  <xdr:twoCellAnchor>
    <xdr:from>
      <xdr:col>42</xdr:col>
      <xdr:colOff>597648</xdr:colOff>
      <xdr:row>0</xdr:row>
      <xdr:rowOff>0</xdr:rowOff>
    </xdr:from>
    <xdr:to>
      <xdr:col>57</xdr:col>
      <xdr:colOff>14942</xdr:colOff>
      <xdr:row>2</xdr:row>
      <xdr:rowOff>171824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81282B5-D889-4A44-BAB8-5CA8E0065837}"/>
            </a:ext>
          </a:extLst>
        </xdr:cNvPr>
        <xdr:cNvSpPr/>
      </xdr:nvSpPr>
      <xdr:spPr>
        <a:xfrm>
          <a:off x="16390098" y="0"/>
          <a:ext cx="9710644" cy="5401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chemeClr val="bg1"/>
              </a:solidFill>
            </a:rPr>
            <a:t>Monthly</a:t>
          </a:r>
          <a:r>
            <a:rPr lang="en-US" sz="2800" b="1" baseline="0">
              <a:solidFill>
                <a:schemeClr val="bg1"/>
              </a:solidFill>
            </a:rPr>
            <a:t> Report</a:t>
          </a:r>
          <a:endParaRPr lang="en-US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528632</xdr:colOff>
      <xdr:row>0</xdr:row>
      <xdr:rowOff>145304</xdr:rowOff>
    </xdr:from>
    <xdr:to>
      <xdr:col>4</xdr:col>
      <xdr:colOff>506218</xdr:colOff>
      <xdr:row>2</xdr:row>
      <xdr:rowOff>69134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5C0A77B-2A3B-4689-9C64-2626559A71FF}"/>
            </a:ext>
          </a:extLst>
        </xdr:cNvPr>
        <xdr:cNvSpPr/>
      </xdr:nvSpPr>
      <xdr:spPr>
        <a:xfrm>
          <a:off x="1747832" y="145304"/>
          <a:ext cx="1196786" cy="29213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FROM</a:t>
          </a:r>
        </a:p>
      </xdr:txBody>
    </xdr:sp>
    <xdr:clientData/>
  </xdr:twoCellAnchor>
  <xdr:twoCellAnchor>
    <xdr:from>
      <xdr:col>7</xdr:col>
      <xdr:colOff>83384</xdr:colOff>
      <xdr:row>0</xdr:row>
      <xdr:rowOff>140822</xdr:rowOff>
    </xdr:from>
    <xdr:to>
      <xdr:col>8</xdr:col>
      <xdr:colOff>471853</xdr:colOff>
      <xdr:row>2</xdr:row>
      <xdr:rowOff>64652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ADF6CED-BB41-43D6-9A10-978ABA624157}"/>
            </a:ext>
          </a:extLst>
        </xdr:cNvPr>
        <xdr:cNvSpPr/>
      </xdr:nvSpPr>
      <xdr:spPr>
        <a:xfrm>
          <a:off x="4604584" y="140822"/>
          <a:ext cx="1207619" cy="29213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TO</a:t>
          </a:r>
        </a:p>
        <a:p>
          <a:pPr marL="0" indent="0" algn="ctr"/>
          <a:endParaRPr lang="en-US" sz="16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494264</xdr:colOff>
      <xdr:row>0</xdr:row>
      <xdr:rowOff>148292</xdr:rowOff>
    </xdr:from>
    <xdr:to>
      <xdr:col>6</xdr:col>
      <xdr:colOff>471851</xdr:colOff>
      <xdr:row>2</xdr:row>
      <xdr:rowOff>72122</xdr:rowOff>
    </xdr:to>
    <xdr:sp macro="" textlink="$G$5">
      <xdr:nvSpPr>
        <xdr:cNvPr id="19" name="Rectangle 18">
          <a:extLst>
            <a:ext uri="{FF2B5EF4-FFF2-40B4-BE49-F238E27FC236}">
              <a16:creationId xmlns:a16="http://schemas.microsoft.com/office/drawing/2014/main" id="{3A373FC9-C5D4-4884-9581-E8C4F85082CE}"/>
            </a:ext>
          </a:extLst>
        </xdr:cNvPr>
        <xdr:cNvSpPr/>
      </xdr:nvSpPr>
      <xdr:spPr>
        <a:xfrm>
          <a:off x="2932664" y="148292"/>
          <a:ext cx="1196787" cy="29213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1BAFFE97-76C2-4FA9-8172-754635694528}" type="TxLink">
            <a:rPr lang="en-US" sz="1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pPr algn="ctr"/>
            <a:t>01-May-2025</a:t>
          </a:fld>
          <a:endParaRPr lang="en-US" sz="1400"/>
        </a:p>
      </xdr:txBody>
    </xdr:sp>
    <xdr:clientData/>
  </xdr:twoCellAnchor>
  <xdr:twoCellAnchor>
    <xdr:from>
      <xdr:col>8</xdr:col>
      <xdr:colOff>490329</xdr:colOff>
      <xdr:row>0</xdr:row>
      <xdr:rowOff>134874</xdr:rowOff>
    </xdr:from>
    <xdr:to>
      <xdr:col>11</xdr:col>
      <xdr:colOff>19680</xdr:colOff>
      <xdr:row>2</xdr:row>
      <xdr:rowOff>58704</xdr:rowOff>
    </xdr:to>
    <xdr:sp macro="" textlink="$M$5">
      <xdr:nvSpPr>
        <xdr:cNvPr id="20" name="Rectangle 19">
          <a:extLst>
            <a:ext uri="{FF2B5EF4-FFF2-40B4-BE49-F238E27FC236}">
              <a16:creationId xmlns:a16="http://schemas.microsoft.com/office/drawing/2014/main" id="{A5B5DF32-AAF8-49D0-BFFA-F181B9F00DF4}"/>
            </a:ext>
          </a:extLst>
        </xdr:cNvPr>
        <xdr:cNvSpPr/>
      </xdr:nvSpPr>
      <xdr:spPr>
        <a:xfrm>
          <a:off x="5830679" y="134874"/>
          <a:ext cx="1212101" cy="29213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F18C7413-8E99-44FA-A55E-E2450FCA2E79}" type="TxLink">
            <a:rPr lang="en-US" sz="1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pPr algn="ctr"/>
            <a:t>31-May-2025</a:t>
          </a:fld>
          <a:endParaRPr lang="en-US" sz="1400"/>
        </a:p>
      </xdr:txBody>
    </xdr:sp>
    <xdr:clientData/>
  </xdr:twoCellAnchor>
  <xdr:twoCellAnchor>
    <xdr:from>
      <xdr:col>12</xdr:col>
      <xdr:colOff>205619</xdr:colOff>
      <xdr:row>0</xdr:row>
      <xdr:rowOff>87923</xdr:rowOff>
    </xdr:from>
    <xdr:to>
      <xdr:col>24</xdr:col>
      <xdr:colOff>189802</xdr:colOff>
      <xdr:row>2</xdr:row>
      <xdr:rowOff>113489</xdr:rowOff>
    </xdr:to>
    <xdr:sp macro="" textlink="$M$5">
      <xdr:nvSpPr>
        <xdr:cNvPr id="21" name="Rectangle 20">
          <a:extLst>
            <a:ext uri="{FF2B5EF4-FFF2-40B4-BE49-F238E27FC236}">
              <a16:creationId xmlns:a16="http://schemas.microsoft.com/office/drawing/2014/main" id="{0B075545-E1E5-4DEF-B2D4-8C83044B914C}"/>
            </a:ext>
          </a:extLst>
        </xdr:cNvPr>
        <xdr:cNvSpPr/>
      </xdr:nvSpPr>
      <xdr:spPr>
        <a:xfrm>
          <a:off x="7501769" y="87923"/>
          <a:ext cx="3260783" cy="393866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Dashboard</a:t>
          </a:r>
          <a:r>
            <a:rPr lang="en-US" sz="2400" baseline="0"/>
            <a:t> For Month    f </a:t>
          </a:r>
          <a:endParaRPr lang="en-US" sz="2400"/>
        </a:p>
      </xdr:txBody>
    </xdr:sp>
    <xdr:clientData/>
  </xdr:twoCellAnchor>
  <xdr:twoCellAnchor>
    <xdr:from>
      <xdr:col>23</xdr:col>
      <xdr:colOff>172383</xdr:colOff>
      <xdr:row>0</xdr:row>
      <xdr:rowOff>82316</xdr:rowOff>
    </xdr:from>
    <xdr:to>
      <xdr:col>29</xdr:col>
      <xdr:colOff>105833</xdr:colOff>
      <xdr:row>2</xdr:row>
      <xdr:rowOff>117232</xdr:rowOff>
    </xdr:to>
    <xdr:sp macro="" textlink="$I$4">
      <xdr:nvSpPr>
        <xdr:cNvPr id="22" name="Rectangle 21">
          <a:extLst>
            <a:ext uri="{FF2B5EF4-FFF2-40B4-BE49-F238E27FC236}">
              <a16:creationId xmlns:a16="http://schemas.microsoft.com/office/drawing/2014/main" id="{0C01121E-1950-46FA-B8A7-A7DEF69BF9E2}"/>
            </a:ext>
          </a:extLst>
        </xdr:cNvPr>
        <xdr:cNvSpPr/>
      </xdr:nvSpPr>
      <xdr:spPr>
        <a:xfrm flipH="1">
          <a:off x="10602846" y="82316"/>
          <a:ext cx="1520950" cy="41121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7CCC7E4-D351-43A5-B697-CE8115FFBC59}" type="TxLink">
            <a:rPr lang="en-US" sz="2400" b="0" i="0" u="none" strike="noStrike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Narrow"/>
            </a:rPr>
            <a:pPr algn="l"/>
            <a:t>May</a:t>
          </a:fld>
          <a:endParaRPr lang="en-US" sz="2400" b="0" cap="none" spc="0">
            <a:ln w="0"/>
            <a:solidFill>
              <a:schemeClr val="accent2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94872</xdr:colOff>
      <xdr:row>3</xdr:row>
      <xdr:rowOff>21166</xdr:rowOff>
    </xdr:from>
    <xdr:to>
      <xdr:col>2</xdr:col>
      <xdr:colOff>581025</xdr:colOff>
      <xdr:row>5</xdr:row>
      <xdr:rowOff>86934</xdr:rowOff>
    </xdr:to>
    <xdr:sp macro="" textlink="">
      <xdr:nvSpPr>
        <xdr:cNvPr id="23" name="Rectangle: Rounded Corner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97C2D0B-8909-4CBF-B355-FE03669BE099}"/>
            </a:ext>
          </a:extLst>
        </xdr:cNvPr>
        <xdr:cNvSpPr/>
      </xdr:nvSpPr>
      <xdr:spPr>
        <a:xfrm>
          <a:off x="94872" y="568854"/>
          <a:ext cx="1708528" cy="43883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January</a:t>
          </a:r>
          <a:endParaRPr lang="en-US" sz="1100"/>
        </a:p>
      </xdr:txBody>
    </xdr:sp>
    <xdr:clientData/>
  </xdr:twoCellAnchor>
  <xdr:twoCellAnchor editAs="oneCell">
    <xdr:from>
      <xdr:col>22</xdr:col>
      <xdr:colOff>96764</xdr:colOff>
      <xdr:row>1</xdr:row>
      <xdr:rowOff>84667</xdr:rowOff>
    </xdr:from>
    <xdr:to>
      <xdr:col>23</xdr:col>
      <xdr:colOff>48381</xdr:colOff>
      <xdr:row>2</xdr:row>
      <xdr:rowOff>114904</xdr:rowOff>
    </xdr:to>
    <xdr:pic>
      <xdr:nvPicPr>
        <xdr:cNvPr id="24" name="Graphic 23" descr="Magnifying glass with solid fill">
          <a:extLst>
            <a:ext uri="{FF2B5EF4-FFF2-40B4-BE49-F238E27FC236}">
              <a16:creationId xmlns:a16="http://schemas.microsoft.com/office/drawing/2014/main" id="{EB9F0CF3-F1E2-4614-92F7-F699E2AE1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rot="5400000">
          <a:off x="10204754" y="270027"/>
          <a:ext cx="214387" cy="211967"/>
        </a:xfrm>
        <a:prstGeom prst="rect">
          <a:avLst/>
        </a:prstGeom>
      </xdr:spPr>
    </xdr:pic>
    <xdr:clientData/>
  </xdr:twoCellAnchor>
  <xdr:twoCellAnchor>
    <xdr:from>
      <xdr:col>30</xdr:col>
      <xdr:colOff>18141</xdr:colOff>
      <xdr:row>0</xdr:row>
      <xdr:rowOff>66525</xdr:rowOff>
    </xdr:from>
    <xdr:to>
      <xdr:col>32</xdr:col>
      <xdr:colOff>84666</xdr:colOff>
      <xdr:row>2</xdr:row>
      <xdr:rowOff>54429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CA5812AC-C429-45C8-8995-9AA2720998E0}"/>
            </a:ext>
          </a:extLst>
        </xdr:cNvPr>
        <xdr:cNvSpPr/>
      </xdr:nvSpPr>
      <xdr:spPr>
        <a:xfrm>
          <a:off x="12241891" y="66525"/>
          <a:ext cx="511025" cy="3562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🟢</a:t>
          </a:r>
        </a:p>
      </xdr:txBody>
    </xdr:sp>
    <xdr:clientData/>
  </xdr:twoCellAnchor>
  <xdr:twoCellAnchor>
    <xdr:from>
      <xdr:col>35</xdr:col>
      <xdr:colOff>72574</xdr:colOff>
      <xdr:row>0</xdr:row>
      <xdr:rowOff>84668</xdr:rowOff>
    </xdr:from>
    <xdr:to>
      <xdr:col>38</xdr:col>
      <xdr:colOff>223764</xdr:colOff>
      <xdr:row>2</xdr:row>
      <xdr:rowOff>48382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3B6E816E-8166-475D-9B4B-86428CE54028}"/>
            </a:ext>
          </a:extLst>
        </xdr:cNvPr>
        <xdr:cNvSpPr/>
      </xdr:nvSpPr>
      <xdr:spPr>
        <a:xfrm>
          <a:off x="13579024" y="84668"/>
          <a:ext cx="925890" cy="33201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ABSENT</a:t>
          </a:r>
        </a:p>
      </xdr:txBody>
    </xdr:sp>
    <xdr:clientData/>
  </xdr:twoCellAnchor>
  <xdr:twoCellAnchor>
    <xdr:from>
      <xdr:col>34</xdr:col>
      <xdr:colOff>85877</xdr:colOff>
      <xdr:row>0</xdr:row>
      <xdr:rowOff>61685</xdr:rowOff>
    </xdr:from>
    <xdr:to>
      <xdr:col>35</xdr:col>
      <xdr:colOff>266096</xdr:colOff>
      <xdr:row>2</xdr:row>
      <xdr:rowOff>42333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D39477FA-32E5-4888-9E68-F264D02C0EDC}"/>
            </a:ext>
          </a:extLst>
        </xdr:cNvPr>
        <xdr:cNvSpPr/>
      </xdr:nvSpPr>
      <xdr:spPr>
        <a:xfrm>
          <a:off x="13331977" y="61685"/>
          <a:ext cx="440569" cy="34894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US" sz="1100"/>
            <a:t>🔴</a:t>
          </a:r>
        </a:p>
      </xdr:txBody>
    </xdr:sp>
    <xdr:clientData/>
  </xdr:twoCellAnchor>
  <xdr:twoCellAnchor>
    <xdr:from>
      <xdr:col>31</xdr:col>
      <xdr:colOff>181429</xdr:colOff>
      <xdr:row>0</xdr:row>
      <xdr:rowOff>127001</xdr:rowOff>
    </xdr:from>
    <xdr:to>
      <xdr:col>34</xdr:col>
      <xdr:colOff>127000</xdr:colOff>
      <xdr:row>2</xdr:row>
      <xdr:rowOff>24191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F0FC60BF-19A8-44E3-969B-8B78C33990E4}"/>
            </a:ext>
          </a:extLst>
        </xdr:cNvPr>
        <xdr:cNvSpPr/>
      </xdr:nvSpPr>
      <xdr:spPr>
        <a:xfrm>
          <a:off x="12608379" y="127001"/>
          <a:ext cx="764721" cy="26549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PRESENT</a:t>
          </a:r>
        </a:p>
      </xdr:txBody>
    </xdr:sp>
    <xdr:clientData/>
  </xdr:twoCellAnchor>
  <xdr:twoCellAnchor>
    <xdr:from>
      <xdr:col>40</xdr:col>
      <xdr:colOff>96764</xdr:colOff>
      <xdr:row>0</xdr:row>
      <xdr:rowOff>60477</xdr:rowOff>
    </xdr:from>
    <xdr:to>
      <xdr:col>42</xdr:col>
      <xdr:colOff>42334</xdr:colOff>
      <xdr:row>2</xdr:row>
      <xdr:rowOff>60476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4413EA1B-5D63-47B8-AE2D-2EDD54EC17D3}"/>
            </a:ext>
          </a:extLst>
        </xdr:cNvPr>
        <xdr:cNvSpPr/>
      </xdr:nvSpPr>
      <xdr:spPr>
        <a:xfrm>
          <a:off x="14924014" y="60477"/>
          <a:ext cx="910770" cy="36829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LEAVE</a:t>
          </a:r>
        </a:p>
      </xdr:txBody>
    </xdr:sp>
    <xdr:clientData/>
  </xdr:twoCellAnchor>
  <xdr:twoCellAnchor>
    <xdr:from>
      <xdr:col>39</xdr:col>
      <xdr:colOff>99180</xdr:colOff>
      <xdr:row>0</xdr:row>
      <xdr:rowOff>50801</xdr:rowOff>
    </xdr:from>
    <xdr:to>
      <xdr:col>40</xdr:col>
      <xdr:colOff>302381</xdr:colOff>
      <xdr:row>2</xdr:row>
      <xdr:rowOff>60477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2175FF5A-4576-4A26-A36A-7247061C3DF6}"/>
            </a:ext>
          </a:extLst>
        </xdr:cNvPr>
        <xdr:cNvSpPr/>
      </xdr:nvSpPr>
      <xdr:spPr>
        <a:xfrm>
          <a:off x="14634330" y="50801"/>
          <a:ext cx="495301" cy="377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39</xdr:col>
      <xdr:colOff>247954</xdr:colOff>
      <xdr:row>0</xdr:row>
      <xdr:rowOff>60477</xdr:rowOff>
    </xdr:from>
    <xdr:to>
      <xdr:col>41</xdr:col>
      <xdr:colOff>514048</xdr:colOff>
      <xdr:row>2</xdr:row>
      <xdr:rowOff>60476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CC6A1632-295D-4DC1-9DEE-B41FE81E7DDD}"/>
            </a:ext>
          </a:extLst>
        </xdr:cNvPr>
        <xdr:cNvSpPr/>
      </xdr:nvSpPr>
      <xdr:spPr>
        <a:xfrm>
          <a:off x="14783104" y="60477"/>
          <a:ext cx="913794" cy="36829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LEAVE</a:t>
          </a:r>
        </a:p>
      </xdr:txBody>
    </xdr:sp>
    <xdr:clientData/>
  </xdr:twoCellAnchor>
  <xdr:twoCellAnchor>
    <xdr:from>
      <xdr:col>38</xdr:col>
      <xdr:colOff>214085</xdr:colOff>
      <xdr:row>0</xdr:row>
      <xdr:rowOff>50801</xdr:rowOff>
    </xdr:from>
    <xdr:to>
      <xdr:col>40</xdr:col>
      <xdr:colOff>163286</xdr:colOff>
      <xdr:row>2</xdr:row>
      <xdr:rowOff>60477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FAE710BB-B211-4BC3-99B3-42ED479D6C10}"/>
            </a:ext>
          </a:extLst>
        </xdr:cNvPr>
        <xdr:cNvSpPr/>
      </xdr:nvSpPr>
      <xdr:spPr>
        <a:xfrm>
          <a:off x="14495235" y="50801"/>
          <a:ext cx="495301" cy="377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0</xdr:col>
      <xdr:colOff>78997</xdr:colOff>
      <xdr:row>3</xdr:row>
      <xdr:rowOff>44978</xdr:rowOff>
    </xdr:from>
    <xdr:to>
      <xdr:col>2</xdr:col>
      <xdr:colOff>565150</xdr:colOff>
      <xdr:row>5</xdr:row>
      <xdr:rowOff>110746</xdr:rowOff>
    </xdr:to>
    <xdr:sp macro="" textlink="">
      <xdr:nvSpPr>
        <xdr:cNvPr id="33" name="Rectangle: Rounded Corners 3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DAD5596-28D0-4777-8059-8B16396A30FA}"/>
            </a:ext>
          </a:extLst>
        </xdr:cNvPr>
        <xdr:cNvSpPr/>
      </xdr:nvSpPr>
      <xdr:spPr>
        <a:xfrm>
          <a:off x="78997" y="592666"/>
          <a:ext cx="1708528" cy="43883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January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557648</xdr:colOff>
      <xdr:row>0</xdr:row>
      <xdr:rowOff>0</xdr:rowOff>
    </xdr:from>
    <xdr:to>
      <xdr:col>42</xdr:col>
      <xdr:colOff>290286</xdr:colOff>
      <xdr:row>2</xdr:row>
      <xdr:rowOff>156883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0E64786-6DCE-46D2-BA25-6C354A4D6468}"/>
            </a:ext>
          </a:extLst>
        </xdr:cNvPr>
        <xdr:cNvSpPr/>
      </xdr:nvSpPr>
      <xdr:spPr>
        <a:xfrm>
          <a:off x="1776848" y="0"/>
          <a:ext cx="14305888" cy="5251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KKKI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590550</xdr:colOff>
      <xdr:row>38</xdr:row>
      <xdr:rowOff>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2B4DEE2-87EC-466A-BB8D-AA5492E5EB46}"/>
            </a:ext>
          </a:extLst>
        </xdr:cNvPr>
        <xdr:cNvSpPr/>
      </xdr:nvSpPr>
      <xdr:spPr>
        <a:xfrm>
          <a:off x="0" y="0"/>
          <a:ext cx="1809750" cy="703580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66146</xdr:colOff>
      <xdr:row>6</xdr:row>
      <xdr:rowOff>10583</xdr:rowOff>
    </xdr:from>
    <xdr:to>
      <xdr:col>2</xdr:col>
      <xdr:colOff>551921</xdr:colOff>
      <xdr:row>8</xdr:row>
      <xdr:rowOff>100541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A8BC7D-8E00-4649-B387-4968F5550B7B}"/>
            </a:ext>
          </a:extLst>
        </xdr:cNvPr>
        <xdr:cNvSpPr/>
      </xdr:nvSpPr>
      <xdr:spPr>
        <a:xfrm>
          <a:off x="66146" y="1147233"/>
          <a:ext cx="1704975" cy="44555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February</a:t>
          </a:r>
          <a:endParaRPr lang="en-US" sz="1100"/>
        </a:p>
      </xdr:txBody>
    </xdr:sp>
    <xdr:clientData/>
  </xdr:twoCellAnchor>
  <xdr:twoCellAnchor>
    <xdr:from>
      <xdr:col>0</xdr:col>
      <xdr:colOff>68263</xdr:colOff>
      <xdr:row>8</xdr:row>
      <xdr:rowOff>185207</xdr:rowOff>
    </xdr:from>
    <xdr:to>
      <xdr:col>2</xdr:col>
      <xdr:colOff>554038</xdr:colOff>
      <xdr:row>11</xdr:row>
      <xdr:rowOff>95249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B3A8CB-A71B-4030-84E1-9DAB6C5192B7}"/>
            </a:ext>
          </a:extLst>
        </xdr:cNvPr>
        <xdr:cNvSpPr/>
      </xdr:nvSpPr>
      <xdr:spPr>
        <a:xfrm>
          <a:off x="68263" y="1677457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March</a:t>
          </a:r>
          <a:endParaRPr lang="en-US" sz="1100"/>
        </a:p>
      </xdr:txBody>
    </xdr:sp>
    <xdr:clientData/>
  </xdr:twoCellAnchor>
  <xdr:twoCellAnchor>
    <xdr:from>
      <xdr:col>0</xdr:col>
      <xdr:colOff>68263</xdr:colOff>
      <xdr:row>11</xdr:row>
      <xdr:rowOff>147636</xdr:rowOff>
    </xdr:from>
    <xdr:to>
      <xdr:col>2</xdr:col>
      <xdr:colOff>554038</xdr:colOff>
      <xdr:row>14</xdr:row>
      <xdr:rowOff>57678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E120A16-BA45-4BE8-A554-823AE97D13B6}"/>
            </a:ext>
          </a:extLst>
        </xdr:cNvPr>
        <xdr:cNvSpPr/>
      </xdr:nvSpPr>
      <xdr:spPr>
        <a:xfrm>
          <a:off x="68263" y="2192336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April</a:t>
          </a:r>
          <a:endParaRPr lang="en-US" sz="1100"/>
        </a:p>
      </xdr:txBody>
    </xdr:sp>
    <xdr:clientData/>
  </xdr:twoCellAnchor>
  <xdr:twoCellAnchor>
    <xdr:from>
      <xdr:col>0</xdr:col>
      <xdr:colOff>79375</xdr:colOff>
      <xdr:row>14</xdr:row>
      <xdr:rowOff>129116</xdr:rowOff>
    </xdr:from>
    <xdr:to>
      <xdr:col>2</xdr:col>
      <xdr:colOff>565150</xdr:colOff>
      <xdr:row>17</xdr:row>
      <xdr:rowOff>39158</xdr:rowOff>
    </xdr:to>
    <xdr:sp macro="" textlink="">
      <xdr:nvSpPr>
        <xdr:cNvPr id="8" name="Rectangle: Rounded Corner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B55B413-D559-4CF8-BA8C-1EAE5C61B693}"/>
            </a:ext>
          </a:extLst>
        </xdr:cNvPr>
        <xdr:cNvSpPr/>
      </xdr:nvSpPr>
      <xdr:spPr>
        <a:xfrm>
          <a:off x="79375" y="2726266"/>
          <a:ext cx="1704975" cy="4751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May</a:t>
          </a:r>
          <a:endParaRPr lang="en-US" sz="1100"/>
        </a:p>
      </xdr:txBody>
    </xdr:sp>
    <xdr:clientData/>
  </xdr:twoCellAnchor>
  <xdr:twoCellAnchor>
    <xdr:from>
      <xdr:col>1</xdr:col>
      <xdr:colOff>116418</xdr:colOff>
      <xdr:row>17</xdr:row>
      <xdr:rowOff>131761</xdr:rowOff>
    </xdr:from>
    <xdr:to>
      <xdr:col>3</xdr:col>
      <xdr:colOff>602193</xdr:colOff>
      <xdr:row>20</xdr:row>
      <xdr:rowOff>41803</xdr:rowOff>
    </xdr:to>
    <xdr:sp macro="" textlink="">
      <xdr:nvSpPr>
        <xdr:cNvPr id="9" name="Rectangle: Rounded Corner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C5C86C3-1848-4931-B4EC-BD4C8F8B3960}"/>
            </a:ext>
          </a:extLst>
        </xdr:cNvPr>
        <xdr:cNvSpPr/>
      </xdr:nvSpPr>
      <xdr:spPr>
        <a:xfrm>
          <a:off x="726018" y="3294061"/>
          <a:ext cx="1704975" cy="462492"/>
        </a:xfrm>
        <a:prstGeom prst="roundRect">
          <a:avLst/>
        </a:prstGeom>
        <a:solidFill>
          <a:schemeClr val="bg2"/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June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20</xdr:row>
      <xdr:rowOff>114299</xdr:rowOff>
    </xdr:from>
    <xdr:to>
      <xdr:col>2</xdr:col>
      <xdr:colOff>551921</xdr:colOff>
      <xdr:row>23</xdr:row>
      <xdr:rowOff>19049</xdr:rowOff>
    </xdr:to>
    <xdr:sp macro="" textlink="">
      <xdr:nvSpPr>
        <xdr:cNvPr id="10" name="Rectangle: Rounded Corner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00A5BE2-6AF7-4695-92C5-1AD645BF9025}"/>
            </a:ext>
          </a:extLst>
        </xdr:cNvPr>
        <xdr:cNvSpPr/>
      </xdr:nvSpPr>
      <xdr:spPr>
        <a:xfrm>
          <a:off x="66146" y="3829049"/>
          <a:ext cx="1704975" cy="45720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July</a:t>
          </a:r>
          <a:endParaRPr lang="en-US" sz="1100"/>
        </a:p>
      </xdr:txBody>
    </xdr:sp>
    <xdr:clientData/>
  </xdr:twoCellAnchor>
  <xdr:twoCellAnchor>
    <xdr:from>
      <xdr:col>0</xdr:col>
      <xdr:colOff>71967</xdr:colOff>
      <xdr:row>23</xdr:row>
      <xdr:rowOff>86255</xdr:rowOff>
    </xdr:from>
    <xdr:to>
      <xdr:col>2</xdr:col>
      <xdr:colOff>557742</xdr:colOff>
      <xdr:row>25</xdr:row>
      <xdr:rowOff>176214</xdr:rowOff>
    </xdr:to>
    <xdr:sp macro="" textlink="">
      <xdr:nvSpPr>
        <xdr:cNvPr id="11" name="Rectangle: Rounded Corner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7F11DFF-8753-4798-9FCF-79DC277588C4}"/>
            </a:ext>
          </a:extLst>
        </xdr:cNvPr>
        <xdr:cNvSpPr/>
      </xdr:nvSpPr>
      <xdr:spPr>
        <a:xfrm>
          <a:off x="71967" y="4353455"/>
          <a:ext cx="1704975" cy="45825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August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26</xdr:row>
      <xdr:rowOff>58888</xdr:rowOff>
    </xdr:from>
    <xdr:to>
      <xdr:col>2</xdr:col>
      <xdr:colOff>551921</xdr:colOff>
      <xdr:row>28</xdr:row>
      <xdr:rowOff>146579</xdr:rowOff>
    </xdr:to>
    <xdr:sp macro="" textlink="">
      <xdr:nvSpPr>
        <xdr:cNvPr id="12" name="Rectangle: Rounded Corner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8DC6C66-4DB6-42A7-A0A4-BFC3D2AE434E}"/>
            </a:ext>
          </a:extLst>
        </xdr:cNvPr>
        <xdr:cNvSpPr/>
      </xdr:nvSpPr>
      <xdr:spPr>
        <a:xfrm>
          <a:off x="66146" y="4878538"/>
          <a:ext cx="1704975" cy="46234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Steptember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29</xdr:row>
      <xdr:rowOff>41880</xdr:rowOff>
    </xdr:from>
    <xdr:to>
      <xdr:col>2</xdr:col>
      <xdr:colOff>551921</xdr:colOff>
      <xdr:row>31</xdr:row>
      <xdr:rowOff>129571</xdr:rowOff>
    </xdr:to>
    <xdr:sp macro="" textlink="">
      <xdr:nvSpPr>
        <xdr:cNvPr id="13" name="Rectangle: Rounded Corner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E3C2FFC-DDF4-48E0-8E6D-6DF1D3831D03}"/>
            </a:ext>
          </a:extLst>
        </xdr:cNvPr>
        <xdr:cNvSpPr/>
      </xdr:nvSpPr>
      <xdr:spPr>
        <a:xfrm>
          <a:off x="66146" y="5420330"/>
          <a:ext cx="1704975" cy="45599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October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32</xdr:row>
      <xdr:rowOff>8165</xdr:rowOff>
    </xdr:from>
    <xdr:to>
      <xdr:col>2</xdr:col>
      <xdr:colOff>551921</xdr:colOff>
      <xdr:row>34</xdr:row>
      <xdr:rowOff>103415</xdr:rowOff>
    </xdr:to>
    <xdr:sp macro="" textlink="">
      <xdr:nvSpPr>
        <xdr:cNvPr id="14" name="Rectangle: Rounded Corners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0F4C0A7-12C8-4737-9AB1-118F46A366C2}"/>
            </a:ext>
          </a:extLst>
        </xdr:cNvPr>
        <xdr:cNvSpPr/>
      </xdr:nvSpPr>
      <xdr:spPr>
        <a:xfrm>
          <a:off x="66146" y="5939065"/>
          <a:ext cx="1704975" cy="46355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November</a:t>
          </a:r>
          <a:endParaRPr lang="en-US" sz="1100"/>
        </a:p>
      </xdr:txBody>
    </xdr:sp>
    <xdr:clientData/>
  </xdr:twoCellAnchor>
  <xdr:twoCellAnchor>
    <xdr:from>
      <xdr:col>0</xdr:col>
      <xdr:colOff>79376</xdr:colOff>
      <xdr:row>34</xdr:row>
      <xdr:rowOff>183773</xdr:rowOff>
    </xdr:from>
    <xdr:to>
      <xdr:col>2</xdr:col>
      <xdr:colOff>565151</xdr:colOff>
      <xdr:row>37</xdr:row>
      <xdr:rowOff>93814</xdr:rowOff>
    </xdr:to>
    <xdr:sp macro="" textlink="">
      <xdr:nvSpPr>
        <xdr:cNvPr id="15" name="Rectangle: Rounded Corners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6929778-F5EB-4AE4-A1CF-EE7FFC249A25}"/>
            </a:ext>
          </a:extLst>
        </xdr:cNvPr>
        <xdr:cNvSpPr/>
      </xdr:nvSpPr>
      <xdr:spPr>
        <a:xfrm>
          <a:off x="79376" y="6482973"/>
          <a:ext cx="1704975" cy="46249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December</a:t>
          </a:r>
          <a:endParaRPr lang="en-US" sz="1100"/>
        </a:p>
      </xdr:txBody>
    </xdr:sp>
    <xdr:clientData/>
  </xdr:twoCellAnchor>
  <xdr:twoCellAnchor>
    <xdr:from>
      <xdr:col>42</xdr:col>
      <xdr:colOff>597648</xdr:colOff>
      <xdr:row>0</xdr:row>
      <xdr:rowOff>0</xdr:rowOff>
    </xdr:from>
    <xdr:to>
      <xdr:col>57</xdr:col>
      <xdr:colOff>14942</xdr:colOff>
      <xdr:row>2</xdr:row>
      <xdr:rowOff>171824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FE39C5F-37A6-4C39-BB0B-1166ADCB8CE2}"/>
            </a:ext>
          </a:extLst>
        </xdr:cNvPr>
        <xdr:cNvSpPr/>
      </xdr:nvSpPr>
      <xdr:spPr>
        <a:xfrm>
          <a:off x="16390098" y="0"/>
          <a:ext cx="9710644" cy="5401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chemeClr val="bg1"/>
              </a:solidFill>
            </a:rPr>
            <a:t>Monthly</a:t>
          </a:r>
          <a:r>
            <a:rPr lang="en-US" sz="2800" b="1" baseline="0">
              <a:solidFill>
                <a:schemeClr val="bg1"/>
              </a:solidFill>
            </a:rPr>
            <a:t> Report</a:t>
          </a:r>
          <a:endParaRPr lang="en-US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528632</xdr:colOff>
      <xdr:row>0</xdr:row>
      <xdr:rowOff>145304</xdr:rowOff>
    </xdr:from>
    <xdr:to>
      <xdr:col>4</xdr:col>
      <xdr:colOff>506218</xdr:colOff>
      <xdr:row>2</xdr:row>
      <xdr:rowOff>69134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88CFF4B-8482-47EF-92FC-9F27CD149BB2}"/>
            </a:ext>
          </a:extLst>
        </xdr:cNvPr>
        <xdr:cNvSpPr/>
      </xdr:nvSpPr>
      <xdr:spPr>
        <a:xfrm>
          <a:off x="1747832" y="145304"/>
          <a:ext cx="1196786" cy="29213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FROM</a:t>
          </a:r>
        </a:p>
      </xdr:txBody>
    </xdr:sp>
    <xdr:clientData/>
  </xdr:twoCellAnchor>
  <xdr:twoCellAnchor>
    <xdr:from>
      <xdr:col>7</xdr:col>
      <xdr:colOff>83384</xdr:colOff>
      <xdr:row>0</xdr:row>
      <xdr:rowOff>140822</xdr:rowOff>
    </xdr:from>
    <xdr:to>
      <xdr:col>8</xdr:col>
      <xdr:colOff>471853</xdr:colOff>
      <xdr:row>2</xdr:row>
      <xdr:rowOff>64652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8A72AB2-B9BE-4E9B-B08B-35F7A1E7DBA4}"/>
            </a:ext>
          </a:extLst>
        </xdr:cNvPr>
        <xdr:cNvSpPr/>
      </xdr:nvSpPr>
      <xdr:spPr>
        <a:xfrm>
          <a:off x="4604584" y="140822"/>
          <a:ext cx="1207619" cy="29213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TO</a:t>
          </a:r>
        </a:p>
        <a:p>
          <a:pPr marL="0" indent="0" algn="ctr"/>
          <a:endParaRPr lang="en-US" sz="16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494264</xdr:colOff>
      <xdr:row>0</xdr:row>
      <xdr:rowOff>148292</xdr:rowOff>
    </xdr:from>
    <xdr:to>
      <xdr:col>6</xdr:col>
      <xdr:colOff>471851</xdr:colOff>
      <xdr:row>2</xdr:row>
      <xdr:rowOff>72122</xdr:rowOff>
    </xdr:to>
    <xdr:sp macro="" textlink="$G$5">
      <xdr:nvSpPr>
        <xdr:cNvPr id="19" name="Rectangle 18">
          <a:extLst>
            <a:ext uri="{FF2B5EF4-FFF2-40B4-BE49-F238E27FC236}">
              <a16:creationId xmlns:a16="http://schemas.microsoft.com/office/drawing/2014/main" id="{BBF153E2-F168-4282-A1CB-D3B3B73E37C1}"/>
            </a:ext>
          </a:extLst>
        </xdr:cNvPr>
        <xdr:cNvSpPr/>
      </xdr:nvSpPr>
      <xdr:spPr>
        <a:xfrm>
          <a:off x="2932664" y="148292"/>
          <a:ext cx="1196787" cy="29213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1BAFFE97-76C2-4FA9-8172-754635694528}" type="TxLink">
            <a:rPr lang="en-US" sz="1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pPr algn="ctr"/>
            <a:t>01-Jun-2025</a:t>
          </a:fld>
          <a:endParaRPr lang="en-US" sz="1400"/>
        </a:p>
      </xdr:txBody>
    </xdr:sp>
    <xdr:clientData/>
  </xdr:twoCellAnchor>
  <xdr:twoCellAnchor>
    <xdr:from>
      <xdr:col>8</xdr:col>
      <xdr:colOff>490329</xdr:colOff>
      <xdr:row>0</xdr:row>
      <xdr:rowOff>134874</xdr:rowOff>
    </xdr:from>
    <xdr:to>
      <xdr:col>11</xdr:col>
      <xdr:colOff>19680</xdr:colOff>
      <xdr:row>2</xdr:row>
      <xdr:rowOff>58704</xdr:rowOff>
    </xdr:to>
    <xdr:sp macro="" textlink="$M$5">
      <xdr:nvSpPr>
        <xdr:cNvPr id="20" name="Rectangle 19">
          <a:extLst>
            <a:ext uri="{FF2B5EF4-FFF2-40B4-BE49-F238E27FC236}">
              <a16:creationId xmlns:a16="http://schemas.microsoft.com/office/drawing/2014/main" id="{607B4CAD-5B92-4705-97E5-9AF1CDB64C02}"/>
            </a:ext>
          </a:extLst>
        </xdr:cNvPr>
        <xdr:cNvSpPr/>
      </xdr:nvSpPr>
      <xdr:spPr>
        <a:xfrm>
          <a:off x="5830679" y="134874"/>
          <a:ext cx="1212101" cy="29213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F18C7413-8E99-44FA-A55E-E2450FCA2E79}" type="TxLink">
            <a:rPr lang="en-US" sz="1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pPr algn="ctr"/>
            <a:t>30-Jun-2025</a:t>
          </a:fld>
          <a:endParaRPr lang="en-US" sz="1400"/>
        </a:p>
      </xdr:txBody>
    </xdr:sp>
    <xdr:clientData/>
  </xdr:twoCellAnchor>
  <xdr:twoCellAnchor>
    <xdr:from>
      <xdr:col>12</xdr:col>
      <xdr:colOff>255009</xdr:colOff>
      <xdr:row>0</xdr:row>
      <xdr:rowOff>94979</xdr:rowOff>
    </xdr:from>
    <xdr:to>
      <xdr:col>24</xdr:col>
      <xdr:colOff>218723</xdr:colOff>
      <xdr:row>2</xdr:row>
      <xdr:rowOff>112889</xdr:rowOff>
    </xdr:to>
    <xdr:sp macro="" textlink="$M$5">
      <xdr:nvSpPr>
        <xdr:cNvPr id="21" name="Rectangle 20">
          <a:extLst>
            <a:ext uri="{FF2B5EF4-FFF2-40B4-BE49-F238E27FC236}">
              <a16:creationId xmlns:a16="http://schemas.microsoft.com/office/drawing/2014/main" id="{1E78A687-D9E0-48E4-A9A0-D648C4FD6C18}"/>
            </a:ext>
          </a:extLst>
        </xdr:cNvPr>
        <xdr:cNvSpPr/>
      </xdr:nvSpPr>
      <xdr:spPr>
        <a:xfrm>
          <a:off x="7543398" y="94979"/>
          <a:ext cx="3300992" cy="384799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Dashboard</a:t>
          </a:r>
          <a:r>
            <a:rPr lang="en-US" sz="2400" baseline="0"/>
            <a:t> For Month    f </a:t>
          </a:r>
          <a:endParaRPr lang="en-US" sz="2400"/>
        </a:p>
      </xdr:txBody>
    </xdr:sp>
    <xdr:clientData/>
  </xdr:twoCellAnchor>
  <xdr:twoCellAnchor>
    <xdr:from>
      <xdr:col>24</xdr:col>
      <xdr:colOff>86749</xdr:colOff>
      <xdr:row>0</xdr:row>
      <xdr:rowOff>94016</xdr:rowOff>
    </xdr:from>
    <xdr:to>
      <xdr:col>29</xdr:col>
      <xdr:colOff>215365</xdr:colOff>
      <xdr:row>2</xdr:row>
      <xdr:rowOff>119103</xdr:rowOff>
    </xdr:to>
    <xdr:sp macro="" textlink="$I$4">
      <xdr:nvSpPr>
        <xdr:cNvPr id="22" name="Rectangle 21">
          <a:extLst>
            <a:ext uri="{FF2B5EF4-FFF2-40B4-BE49-F238E27FC236}">
              <a16:creationId xmlns:a16="http://schemas.microsoft.com/office/drawing/2014/main" id="{E628DB03-4DBE-4E73-8BD5-7227AF454A5A}"/>
            </a:ext>
          </a:extLst>
        </xdr:cNvPr>
        <xdr:cNvSpPr/>
      </xdr:nvSpPr>
      <xdr:spPr>
        <a:xfrm flipH="1">
          <a:off x="10725720" y="94016"/>
          <a:ext cx="1518359" cy="395201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7CCC7E4-D351-43A5-B697-CE8115FFBC59}" type="TxLink">
            <a:rPr lang="en-US" sz="2400" b="0" i="0" u="none" strike="noStrike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Narrow"/>
            </a:rPr>
            <a:pPr algn="l"/>
            <a:t>June</a:t>
          </a:fld>
          <a:endParaRPr lang="en-US" sz="2400" b="0" cap="none" spc="0">
            <a:ln w="0"/>
            <a:solidFill>
              <a:schemeClr val="accent2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75822</xdr:colOff>
      <xdr:row>3</xdr:row>
      <xdr:rowOff>59266</xdr:rowOff>
    </xdr:from>
    <xdr:to>
      <xdr:col>2</xdr:col>
      <xdr:colOff>560388</xdr:colOff>
      <xdr:row>5</xdr:row>
      <xdr:rowOff>125034</xdr:rowOff>
    </xdr:to>
    <xdr:sp macro="" textlink="">
      <xdr:nvSpPr>
        <xdr:cNvPr id="23" name="Rectangle: Rounded Corner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CC663F4-79A3-43FA-B840-A13636E9A2F8}"/>
            </a:ext>
          </a:extLst>
        </xdr:cNvPr>
        <xdr:cNvSpPr/>
      </xdr:nvSpPr>
      <xdr:spPr>
        <a:xfrm>
          <a:off x="75822" y="611716"/>
          <a:ext cx="1703766" cy="44041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January</a:t>
          </a:r>
          <a:endParaRPr lang="en-US" sz="1100"/>
        </a:p>
      </xdr:txBody>
    </xdr:sp>
    <xdr:clientData/>
  </xdr:twoCellAnchor>
  <xdr:twoCellAnchor editAs="oneCell">
    <xdr:from>
      <xdr:col>22</xdr:col>
      <xdr:colOff>141110</xdr:colOff>
      <xdr:row>1</xdr:row>
      <xdr:rowOff>96275</xdr:rowOff>
    </xdr:from>
    <xdr:to>
      <xdr:col>23</xdr:col>
      <xdr:colOff>75920</xdr:colOff>
      <xdr:row>2</xdr:row>
      <xdr:rowOff>109625</xdr:rowOff>
    </xdr:to>
    <xdr:pic>
      <xdr:nvPicPr>
        <xdr:cNvPr id="24" name="Graphic 23" descr="Magnifying glass with solid fill">
          <a:extLst>
            <a:ext uri="{FF2B5EF4-FFF2-40B4-BE49-F238E27FC236}">
              <a16:creationId xmlns:a16="http://schemas.microsoft.com/office/drawing/2014/main" id="{D5A5290E-6004-424B-840B-0780B03C2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rot="5400000">
          <a:off x="10307701" y="280184"/>
          <a:ext cx="196795" cy="195865"/>
        </a:xfrm>
        <a:prstGeom prst="rect">
          <a:avLst/>
        </a:prstGeom>
      </xdr:spPr>
    </xdr:pic>
    <xdr:clientData/>
  </xdr:twoCellAnchor>
  <xdr:twoCellAnchor>
    <xdr:from>
      <xdr:col>30</xdr:col>
      <xdr:colOff>18141</xdr:colOff>
      <xdr:row>0</xdr:row>
      <xdr:rowOff>66525</xdr:rowOff>
    </xdr:from>
    <xdr:to>
      <xdr:col>32</xdr:col>
      <xdr:colOff>84666</xdr:colOff>
      <xdr:row>2</xdr:row>
      <xdr:rowOff>54429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6D79B2F0-F439-4EAF-AB5D-B0C5C2AC56B6}"/>
            </a:ext>
          </a:extLst>
        </xdr:cNvPr>
        <xdr:cNvSpPr/>
      </xdr:nvSpPr>
      <xdr:spPr>
        <a:xfrm>
          <a:off x="12241891" y="66525"/>
          <a:ext cx="511025" cy="3562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🟢</a:t>
          </a:r>
        </a:p>
      </xdr:txBody>
    </xdr:sp>
    <xdr:clientData/>
  </xdr:twoCellAnchor>
  <xdr:twoCellAnchor>
    <xdr:from>
      <xdr:col>35</xdr:col>
      <xdr:colOff>72574</xdr:colOff>
      <xdr:row>0</xdr:row>
      <xdr:rowOff>84668</xdr:rowOff>
    </xdr:from>
    <xdr:to>
      <xdr:col>38</xdr:col>
      <xdr:colOff>223764</xdr:colOff>
      <xdr:row>2</xdr:row>
      <xdr:rowOff>48382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AB3DD02D-2634-4EB5-B354-4B73474A96E1}"/>
            </a:ext>
          </a:extLst>
        </xdr:cNvPr>
        <xdr:cNvSpPr/>
      </xdr:nvSpPr>
      <xdr:spPr>
        <a:xfrm>
          <a:off x="13579024" y="84668"/>
          <a:ext cx="925890" cy="33201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ABSENT</a:t>
          </a:r>
        </a:p>
      </xdr:txBody>
    </xdr:sp>
    <xdr:clientData/>
  </xdr:twoCellAnchor>
  <xdr:twoCellAnchor>
    <xdr:from>
      <xdr:col>34</xdr:col>
      <xdr:colOff>85877</xdr:colOff>
      <xdr:row>0</xdr:row>
      <xdr:rowOff>61685</xdr:rowOff>
    </xdr:from>
    <xdr:to>
      <xdr:col>35</xdr:col>
      <xdr:colOff>266096</xdr:colOff>
      <xdr:row>2</xdr:row>
      <xdr:rowOff>42333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5FF69B1-350A-43C8-BD41-CFF0D7DAF7B7}"/>
            </a:ext>
          </a:extLst>
        </xdr:cNvPr>
        <xdr:cNvSpPr/>
      </xdr:nvSpPr>
      <xdr:spPr>
        <a:xfrm>
          <a:off x="13331977" y="61685"/>
          <a:ext cx="440569" cy="34894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US" sz="1100"/>
            <a:t>🔴</a:t>
          </a:r>
        </a:p>
      </xdr:txBody>
    </xdr:sp>
    <xdr:clientData/>
  </xdr:twoCellAnchor>
  <xdr:twoCellAnchor>
    <xdr:from>
      <xdr:col>31</xdr:col>
      <xdr:colOff>181429</xdr:colOff>
      <xdr:row>0</xdr:row>
      <xdr:rowOff>127001</xdr:rowOff>
    </xdr:from>
    <xdr:to>
      <xdr:col>34</xdr:col>
      <xdr:colOff>127000</xdr:colOff>
      <xdr:row>2</xdr:row>
      <xdr:rowOff>24191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29715FB9-FE5B-46D3-8439-35B6FE6F9784}"/>
            </a:ext>
          </a:extLst>
        </xdr:cNvPr>
        <xdr:cNvSpPr/>
      </xdr:nvSpPr>
      <xdr:spPr>
        <a:xfrm>
          <a:off x="12608379" y="127001"/>
          <a:ext cx="764721" cy="26549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PRESENT</a:t>
          </a:r>
        </a:p>
      </xdr:txBody>
    </xdr:sp>
    <xdr:clientData/>
  </xdr:twoCellAnchor>
  <xdr:twoCellAnchor>
    <xdr:from>
      <xdr:col>40</xdr:col>
      <xdr:colOff>96764</xdr:colOff>
      <xdr:row>0</xdr:row>
      <xdr:rowOff>60477</xdr:rowOff>
    </xdr:from>
    <xdr:to>
      <xdr:col>42</xdr:col>
      <xdr:colOff>42334</xdr:colOff>
      <xdr:row>2</xdr:row>
      <xdr:rowOff>60476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E25C54FE-5609-4919-8E01-497C68FFD495}"/>
            </a:ext>
          </a:extLst>
        </xdr:cNvPr>
        <xdr:cNvSpPr/>
      </xdr:nvSpPr>
      <xdr:spPr>
        <a:xfrm>
          <a:off x="14924014" y="60477"/>
          <a:ext cx="910770" cy="36829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LEAVE</a:t>
          </a:r>
        </a:p>
      </xdr:txBody>
    </xdr:sp>
    <xdr:clientData/>
  </xdr:twoCellAnchor>
  <xdr:twoCellAnchor>
    <xdr:from>
      <xdr:col>39</xdr:col>
      <xdr:colOff>99180</xdr:colOff>
      <xdr:row>0</xdr:row>
      <xdr:rowOff>50801</xdr:rowOff>
    </xdr:from>
    <xdr:to>
      <xdr:col>40</xdr:col>
      <xdr:colOff>302381</xdr:colOff>
      <xdr:row>2</xdr:row>
      <xdr:rowOff>60477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368D6482-C820-4EA8-B62B-117952CC0BBA}"/>
            </a:ext>
          </a:extLst>
        </xdr:cNvPr>
        <xdr:cNvSpPr/>
      </xdr:nvSpPr>
      <xdr:spPr>
        <a:xfrm>
          <a:off x="14634330" y="50801"/>
          <a:ext cx="495301" cy="377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39</xdr:col>
      <xdr:colOff>247954</xdr:colOff>
      <xdr:row>0</xdr:row>
      <xdr:rowOff>60477</xdr:rowOff>
    </xdr:from>
    <xdr:to>
      <xdr:col>41</xdr:col>
      <xdr:colOff>514048</xdr:colOff>
      <xdr:row>2</xdr:row>
      <xdr:rowOff>60476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D4102A14-5890-4354-A414-B1AE53399375}"/>
            </a:ext>
          </a:extLst>
        </xdr:cNvPr>
        <xdr:cNvSpPr/>
      </xdr:nvSpPr>
      <xdr:spPr>
        <a:xfrm>
          <a:off x="14783104" y="60477"/>
          <a:ext cx="913794" cy="36829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LEAVE</a:t>
          </a:r>
        </a:p>
      </xdr:txBody>
    </xdr:sp>
    <xdr:clientData/>
  </xdr:twoCellAnchor>
  <xdr:twoCellAnchor>
    <xdr:from>
      <xdr:col>38</xdr:col>
      <xdr:colOff>214085</xdr:colOff>
      <xdr:row>0</xdr:row>
      <xdr:rowOff>50801</xdr:rowOff>
    </xdr:from>
    <xdr:to>
      <xdr:col>40</xdr:col>
      <xdr:colOff>163286</xdr:colOff>
      <xdr:row>2</xdr:row>
      <xdr:rowOff>60477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DF967FE5-B165-4F7A-A647-CA629CF3DF13}"/>
            </a:ext>
          </a:extLst>
        </xdr:cNvPr>
        <xdr:cNvSpPr/>
      </xdr:nvSpPr>
      <xdr:spPr>
        <a:xfrm>
          <a:off x="14495235" y="50801"/>
          <a:ext cx="495301" cy="377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557648</xdr:colOff>
      <xdr:row>0</xdr:row>
      <xdr:rowOff>0</xdr:rowOff>
    </xdr:from>
    <xdr:to>
      <xdr:col>42</xdr:col>
      <xdr:colOff>290286</xdr:colOff>
      <xdr:row>2</xdr:row>
      <xdr:rowOff>156883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87F2C1A-6736-4388-A237-516A5B098D1A}"/>
            </a:ext>
          </a:extLst>
        </xdr:cNvPr>
        <xdr:cNvSpPr/>
      </xdr:nvSpPr>
      <xdr:spPr>
        <a:xfrm>
          <a:off x="1776848" y="0"/>
          <a:ext cx="14305888" cy="5251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KKKI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590550</xdr:colOff>
      <xdr:row>38</xdr:row>
      <xdr:rowOff>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C25917D-48BF-4E83-925B-BBEE5CAE0BB0}"/>
            </a:ext>
          </a:extLst>
        </xdr:cNvPr>
        <xdr:cNvSpPr/>
      </xdr:nvSpPr>
      <xdr:spPr>
        <a:xfrm>
          <a:off x="0" y="0"/>
          <a:ext cx="1809750" cy="703580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66146</xdr:colOff>
      <xdr:row>6</xdr:row>
      <xdr:rowOff>10583</xdr:rowOff>
    </xdr:from>
    <xdr:to>
      <xdr:col>2</xdr:col>
      <xdr:colOff>551921</xdr:colOff>
      <xdr:row>8</xdr:row>
      <xdr:rowOff>100541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07AE05-1D3E-4C93-9F0F-A7FFBAF07907}"/>
            </a:ext>
          </a:extLst>
        </xdr:cNvPr>
        <xdr:cNvSpPr/>
      </xdr:nvSpPr>
      <xdr:spPr>
        <a:xfrm>
          <a:off x="66146" y="1147233"/>
          <a:ext cx="1704975" cy="44555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February</a:t>
          </a:r>
          <a:endParaRPr lang="en-US" sz="1100"/>
        </a:p>
      </xdr:txBody>
    </xdr:sp>
    <xdr:clientData/>
  </xdr:twoCellAnchor>
  <xdr:twoCellAnchor>
    <xdr:from>
      <xdr:col>0</xdr:col>
      <xdr:colOff>68263</xdr:colOff>
      <xdr:row>8</xdr:row>
      <xdr:rowOff>185207</xdr:rowOff>
    </xdr:from>
    <xdr:to>
      <xdr:col>2</xdr:col>
      <xdr:colOff>554038</xdr:colOff>
      <xdr:row>11</xdr:row>
      <xdr:rowOff>95249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21E4AB-0D34-43A0-8979-9769FD891C12}"/>
            </a:ext>
          </a:extLst>
        </xdr:cNvPr>
        <xdr:cNvSpPr/>
      </xdr:nvSpPr>
      <xdr:spPr>
        <a:xfrm>
          <a:off x="68263" y="1677457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March</a:t>
          </a:r>
          <a:endParaRPr lang="en-US" sz="1100"/>
        </a:p>
      </xdr:txBody>
    </xdr:sp>
    <xdr:clientData/>
  </xdr:twoCellAnchor>
  <xdr:twoCellAnchor>
    <xdr:from>
      <xdr:col>0</xdr:col>
      <xdr:colOff>68263</xdr:colOff>
      <xdr:row>11</xdr:row>
      <xdr:rowOff>147636</xdr:rowOff>
    </xdr:from>
    <xdr:to>
      <xdr:col>2</xdr:col>
      <xdr:colOff>554038</xdr:colOff>
      <xdr:row>14</xdr:row>
      <xdr:rowOff>57678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AC23815-DB98-40DF-8571-9B486B931F0F}"/>
            </a:ext>
          </a:extLst>
        </xdr:cNvPr>
        <xdr:cNvSpPr/>
      </xdr:nvSpPr>
      <xdr:spPr>
        <a:xfrm>
          <a:off x="68263" y="2192336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April</a:t>
          </a:r>
          <a:endParaRPr lang="en-US" sz="1100"/>
        </a:p>
      </xdr:txBody>
    </xdr:sp>
    <xdr:clientData/>
  </xdr:twoCellAnchor>
  <xdr:twoCellAnchor>
    <xdr:from>
      <xdr:col>0</xdr:col>
      <xdr:colOff>79375</xdr:colOff>
      <xdr:row>14</xdr:row>
      <xdr:rowOff>129116</xdr:rowOff>
    </xdr:from>
    <xdr:to>
      <xdr:col>2</xdr:col>
      <xdr:colOff>565150</xdr:colOff>
      <xdr:row>17</xdr:row>
      <xdr:rowOff>39158</xdr:rowOff>
    </xdr:to>
    <xdr:sp macro="" textlink="">
      <xdr:nvSpPr>
        <xdr:cNvPr id="8" name="Rectangle: Rounded Corner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9CE425B-B033-4D6D-8185-ECF21A081987}"/>
            </a:ext>
          </a:extLst>
        </xdr:cNvPr>
        <xdr:cNvSpPr/>
      </xdr:nvSpPr>
      <xdr:spPr>
        <a:xfrm>
          <a:off x="79375" y="2726266"/>
          <a:ext cx="1704975" cy="4751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May</a:t>
          </a:r>
          <a:endParaRPr lang="en-US" sz="1100"/>
        </a:p>
      </xdr:txBody>
    </xdr:sp>
    <xdr:clientData/>
  </xdr:twoCellAnchor>
  <xdr:twoCellAnchor>
    <xdr:from>
      <xdr:col>0</xdr:col>
      <xdr:colOff>71968</xdr:colOff>
      <xdr:row>17</xdr:row>
      <xdr:rowOff>125411</xdr:rowOff>
    </xdr:from>
    <xdr:to>
      <xdr:col>2</xdr:col>
      <xdr:colOff>557743</xdr:colOff>
      <xdr:row>20</xdr:row>
      <xdr:rowOff>35453</xdr:rowOff>
    </xdr:to>
    <xdr:sp macro="" textlink="">
      <xdr:nvSpPr>
        <xdr:cNvPr id="9" name="Rectangle: Rounded Corner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0FC4896-63F7-46BE-94C6-E9587F950B28}"/>
            </a:ext>
          </a:extLst>
        </xdr:cNvPr>
        <xdr:cNvSpPr/>
      </xdr:nvSpPr>
      <xdr:spPr>
        <a:xfrm>
          <a:off x="71968" y="3287711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June</a:t>
          </a:r>
          <a:endParaRPr lang="en-US" sz="1100"/>
        </a:p>
      </xdr:txBody>
    </xdr:sp>
    <xdr:clientData/>
  </xdr:twoCellAnchor>
  <xdr:twoCellAnchor>
    <xdr:from>
      <xdr:col>1</xdr:col>
      <xdr:colOff>116946</xdr:colOff>
      <xdr:row>20</xdr:row>
      <xdr:rowOff>107949</xdr:rowOff>
    </xdr:from>
    <xdr:to>
      <xdr:col>3</xdr:col>
      <xdr:colOff>602721</xdr:colOff>
      <xdr:row>23</xdr:row>
      <xdr:rowOff>12699</xdr:rowOff>
    </xdr:to>
    <xdr:sp macro="" textlink="">
      <xdr:nvSpPr>
        <xdr:cNvPr id="10" name="Rectangle: Rounded Corner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F12F6B6-5144-4543-A9FC-AF3D4AB6B6F7}"/>
            </a:ext>
          </a:extLst>
        </xdr:cNvPr>
        <xdr:cNvSpPr/>
      </xdr:nvSpPr>
      <xdr:spPr>
        <a:xfrm>
          <a:off x="726546" y="3822699"/>
          <a:ext cx="1704975" cy="457200"/>
        </a:xfrm>
        <a:prstGeom prst="roundRect">
          <a:avLst/>
        </a:prstGeom>
        <a:solidFill>
          <a:schemeClr val="bg2"/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July</a:t>
          </a:r>
          <a:endParaRPr lang="en-US" sz="1100"/>
        </a:p>
      </xdr:txBody>
    </xdr:sp>
    <xdr:clientData/>
  </xdr:twoCellAnchor>
  <xdr:twoCellAnchor>
    <xdr:from>
      <xdr:col>0</xdr:col>
      <xdr:colOff>71967</xdr:colOff>
      <xdr:row>23</xdr:row>
      <xdr:rowOff>86255</xdr:rowOff>
    </xdr:from>
    <xdr:to>
      <xdr:col>2</xdr:col>
      <xdr:colOff>557742</xdr:colOff>
      <xdr:row>25</xdr:row>
      <xdr:rowOff>176214</xdr:rowOff>
    </xdr:to>
    <xdr:sp macro="" textlink="">
      <xdr:nvSpPr>
        <xdr:cNvPr id="11" name="Rectangle: Rounded Corner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D4A280E-B22A-4131-818F-2FE5A0407188}"/>
            </a:ext>
          </a:extLst>
        </xdr:cNvPr>
        <xdr:cNvSpPr/>
      </xdr:nvSpPr>
      <xdr:spPr>
        <a:xfrm>
          <a:off x="71967" y="4353455"/>
          <a:ext cx="1704975" cy="45825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August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26</xdr:row>
      <xdr:rowOff>58888</xdr:rowOff>
    </xdr:from>
    <xdr:to>
      <xdr:col>2</xdr:col>
      <xdr:colOff>551921</xdr:colOff>
      <xdr:row>28</xdr:row>
      <xdr:rowOff>146579</xdr:rowOff>
    </xdr:to>
    <xdr:sp macro="" textlink="">
      <xdr:nvSpPr>
        <xdr:cNvPr id="12" name="Rectangle: Rounded Corner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BB504A8-5867-4A29-A72C-4B7E585125B7}"/>
            </a:ext>
          </a:extLst>
        </xdr:cNvPr>
        <xdr:cNvSpPr/>
      </xdr:nvSpPr>
      <xdr:spPr>
        <a:xfrm>
          <a:off x="66146" y="4878538"/>
          <a:ext cx="1704975" cy="46234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Steptember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29</xdr:row>
      <xdr:rowOff>41880</xdr:rowOff>
    </xdr:from>
    <xdr:to>
      <xdr:col>2</xdr:col>
      <xdr:colOff>551921</xdr:colOff>
      <xdr:row>31</xdr:row>
      <xdr:rowOff>129571</xdr:rowOff>
    </xdr:to>
    <xdr:sp macro="" textlink="">
      <xdr:nvSpPr>
        <xdr:cNvPr id="13" name="Rectangle: Rounded Corner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793DC22-6746-40FC-95CE-C01F3A89CC1E}"/>
            </a:ext>
          </a:extLst>
        </xdr:cNvPr>
        <xdr:cNvSpPr/>
      </xdr:nvSpPr>
      <xdr:spPr>
        <a:xfrm>
          <a:off x="66146" y="5420330"/>
          <a:ext cx="1704975" cy="45599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October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32</xdr:row>
      <xdr:rowOff>8165</xdr:rowOff>
    </xdr:from>
    <xdr:to>
      <xdr:col>2</xdr:col>
      <xdr:colOff>551921</xdr:colOff>
      <xdr:row>34</xdr:row>
      <xdr:rowOff>103415</xdr:rowOff>
    </xdr:to>
    <xdr:sp macro="" textlink="">
      <xdr:nvSpPr>
        <xdr:cNvPr id="14" name="Rectangle: Rounded Corners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AD77EDE-2A71-4F59-8F1B-E169CB6ED064}"/>
            </a:ext>
          </a:extLst>
        </xdr:cNvPr>
        <xdr:cNvSpPr/>
      </xdr:nvSpPr>
      <xdr:spPr>
        <a:xfrm>
          <a:off x="66146" y="5939065"/>
          <a:ext cx="1704975" cy="46355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November</a:t>
          </a:r>
          <a:endParaRPr lang="en-US" sz="1100"/>
        </a:p>
      </xdr:txBody>
    </xdr:sp>
    <xdr:clientData/>
  </xdr:twoCellAnchor>
  <xdr:twoCellAnchor>
    <xdr:from>
      <xdr:col>0</xdr:col>
      <xdr:colOff>79376</xdr:colOff>
      <xdr:row>34</xdr:row>
      <xdr:rowOff>183773</xdr:rowOff>
    </xdr:from>
    <xdr:to>
      <xdr:col>2</xdr:col>
      <xdr:colOff>565151</xdr:colOff>
      <xdr:row>37</xdr:row>
      <xdr:rowOff>93814</xdr:rowOff>
    </xdr:to>
    <xdr:sp macro="" textlink="">
      <xdr:nvSpPr>
        <xdr:cNvPr id="15" name="Rectangle: Rounded Corners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8FEBB41-327A-437C-BE1C-1392C6F83F04}"/>
            </a:ext>
          </a:extLst>
        </xdr:cNvPr>
        <xdr:cNvSpPr/>
      </xdr:nvSpPr>
      <xdr:spPr>
        <a:xfrm>
          <a:off x="79376" y="6482973"/>
          <a:ext cx="1704975" cy="46249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December</a:t>
          </a:r>
          <a:endParaRPr lang="en-US" sz="1100"/>
        </a:p>
      </xdr:txBody>
    </xdr:sp>
    <xdr:clientData/>
  </xdr:twoCellAnchor>
  <xdr:twoCellAnchor>
    <xdr:from>
      <xdr:col>42</xdr:col>
      <xdr:colOff>597648</xdr:colOff>
      <xdr:row>0</xdr:row>
      <xdr:rowOff>0</xdr:rowOff>
    </xdr:from>
    <xdr:to>
      <xdr:col>57</xdr:col>
      <xdr:colOff>14942</xdr:colOff>
      <xdr:row>2</xdr:row>
      <xdr:rowOff>171824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520BB2A-5E89-4A7B-84D9-EDD5B6F1C3F9}"/>
            </a:ext>
          </a:extLst>
        </xdr:cNvPr>
        <xdr:cNvSpPr/>
      </xdr:nvSpPr>
      <xdr:spPr>
        <a:xfrm>
          <a:off x="16390098" y="0"/>
          <a:ext cx="9710644" cy="5401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chemeClr val="bg1"/>
              </a:solidFill>
            </a:rPr>
            <a:t>Monthly</a:t>
          </a:r>
          <a:r>
            <a:rPr lang="en-US" sz="2800" b="1" baseline="0">
              <a:solidFill>
                <a:schemeClr val="bg1"/>
              </a:solidFill>
            </a:rPr>
            <a:t> Report</a:t>
          </a:r>
          <a:endParaRPr lang="en-US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528632</xdr:colOff>
      <xdr:row>0</xdr:row>
      <xdr:rowOff>145304</xdr:rowOff>
    </xdr:from>
    <xdr:to>
      <xdr:col>4</xdr:col>
      <xdr:colOff>506218</xdr:colOff>
      <xdr:row>2</xdr:row>
      <xdr:rowOff>69134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EB1A146-EAEB-462C-A95B-FF053E742697}"/>
            </a:ext>
          </a:extLst>
        </xdr:cNvPr>
        <xdr:cNvSpPr/>
      </xdr:nvSpPr>
      <xdr:spPr>
        <a:xfrm>
          <a:off x="1747832" y="145304"/>
          <a:ext cx="1196786" cy="29213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FROM</a:t>
          </a:r>
        </a:p>
      </xdr:txBody>
    </xdr:sp>
    <xdr:clientData/>
  </xdr:twoCellAnchor>
  <xdr:twoCellAnchor>
    <xdr:from>
      <xdr:col>7</xdr:col>
      <xdr:colOff>83384</xdr:colOff>
      <xdr:row>0</xdr:row>
      <xdr:rowOff>140822</xdr:rowOff>
    </xdr:from>
    <xdr:to>
      <xdr:col>8</xdr:col>
      <xdr:colOff>471853</xdr:colOff>
      <xdr:row>2</xdr:row>
      <xdr:rowOff>64652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0712DAD-C255-4177-9FB4-FD8767708F35}"/>
            </a:ext>
          </a:extLst>
        </xdr:cNvPr>
        <xdr:cNvSpPr/>
      </xdr:nvSpPr>
      <xdr:spPr>
        <a:xfrm>
          <a:off x="4604584" y="140822"/>
          <a:ext cx="1207619" cy="29213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TO</a:t>
          </a:r>
        </a:p>
        <a:p>
          <a:pPr marL="0" indent="0" algn="ctr"/>
          <a:endParaRPr lang="en-US" sz="16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494264</xdr:colOff>
      <xdr:row>0</xdr:row>
      <xdr:rowOff>148292</xdr:rowOff>
    </xdr:from>
    <xdr:to>
      <xdr:col>6</xdr:col>
      <xdr:colOff>471851</xdr:colOff>
      <xdr:row>2</xdr:row>
      <xdr:rowOff>72122</xdr:rowOff>
    </xdr:to>
    <xdr:sp macro="" textlink="$G$5">
      <xdr:nvSpPr>
        <xdr:cNvPr id="19" name="Rectangle 18">
          <a:extLst>
            <a:ext uri="{FF2B5EF4-FFF2-40B4-BE49-F238E27FC236}">
              <a16:creationId xmlns:a16="http://schemas.microsoft.com/office/drawing/2014/main" id="{1245AB5B-2699-4B51-BBF6-793A81183C51}"/>
            </a:ext>
          </a:extLst>
        </xdr:cNvPr>
        <xdr:cNvSpPr/>
      </xdr:nvSpPr>
      <xdr:spPr>
        <a:xfrm>
          <a:off x="2932664" y="148292"/>
          <a:ext cx="1196787" cy="29213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1BAFFE97-76C2-4FA9-8172-754635694528}" type="TxLink">
            <a:rPr lang="en-US" sz="1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pPr algn="ctr"/>
            <a:t>01-Jul-2025</a:t>
          </a:fld>
          <a:endParaRPr lang="en-US" sz="1400"/>
        </a:p>
      </xdr:txBody>
    </xdr:sp>
    <xdr:clientData/>
  </xdr:twoCellAnchor>
  <xdr:twoCellAnchor>
    <xdr:from>
      <xdr:col>8</xdr:col>
      <xdr:colOff>490329</xdr:colOff>
      <xdr:row>0</xdr:row>
      <xdr:rowOff>134874</xdr:rowOff>
    </xdr:from>
    <xdr:to>
      <xdr:col>11</xdr:col>
      <xdr:colOff>19680</xdr:colOff>
      <xdr:row>2</xdr:row>
      <xdr:rowOff>58704</xdr:rowOff>
    </xdr:to>
    <xdr:sp macro="" textlink="$M$5">
      <xdr:nvSpPr>
        <xdr:cNvPr id="20" name="Rectangle 19">
          <a:extLst>
            <a:ext uri="{FF2B5EF4-FFF2-40B4-BE49-F238E27FC236}">
              <a16:creationId xmlns:a16="http://schemas.microsoft.com/office/drawing/2014/main" id="{BFFC615B-6396-4616-8759-B4E746F18690}"/>
            </a:ext>
          </a:extLst>
        </xdr:cNvPr>
        <xdr:cNvSpPr/>
      </xdr:nvSpPr>
      <xdr:spPr>
        <a:xfrm>
          <a:off x="5830679" y="134874"/>
          <a:ext cx="1212101" cy="29213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F18C7413-8E99-44FA-A55E-E2450FCA2E79}" type="TxLink">
            <a:rPr lang="en-US" sz="1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pPr algn="ctr"/>
            <a:t>31-Jul-2025</a:t>
          </a:fld>
          <a:endParaRPr lang="en-US" sz="1400"/>
        </a:p>
      </xdr:txBody>
    </xdr:sp>
    <xdr:clientData/>
  </xdr:twoCellAnchor>
  <xdr:twoCellAnchor>
    <xdr:from>
      <xdr:col>12</xdr:col>
      <xdr:colOff>205619</xdr:colOff>
      <xdr:row>0</xdr:row>
      <xdr:rowOff>87923</xdr:rowOff>
    </xdr:from>
    <xdr:to>
      <xdr:col>24</xdr:col>
      <xdr:colOff>189802</xdr:colOff>
      <xdr:row>2</xdr:row>
      <xdr:rowOff>113489</xdr:rowOff>
    </xdr:to>
    <xdr:sp macro="" textlink="$M$5">
      <xdr:nvSpPr>
        <xdr:cNvPr id="21" name="Rectangle 20">
          <a:extLst>
            <a:ext uri="{FF2B5EF4-FFF2-40B4-BE49-F238E27FC236}">
              <a16:creationId xmlns:a16="http://schemas.microsoft.com/office/drawing/2014/main" id="{B0ED370E-DEB2-4AE5-9D38-EA32E93669E1}"/>
            </a:ext>
          </a:extLst>
        </xdr:cNvPr>
        <xdr:cNvSpPr/>
      </xdr:nvSpPr>
      <xdr:spPr>
        <a:xfrm>
          <a:off x="7501769" y="87923"/>
          <a:ext cx="3260783" cy="393866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Dashboard</a:t>
          </a:r>
          <a:r>
            <a:rPr lang="en-US" sz="2400" baseline="0"/>
            <a:t> For Month   f </a:t>
          </a:r>
          <a:endParaRPr lang="en-US" sz="2400"/>
        </a:p>
      </xdr:txBody>
    </xdr:sp>
    <xdr:clientData/>
  </xdr:twoCellAnchor>
  <xdr:twoCellAnchor>
    <xdr:from>
      <xdr:col>23</xdr:col>
      <xdr:colOff>148864</xdr:colOff>
      <xdr:row>0</xdr:row>
      <xdr:rowOff>88473</xdr:rowOff>
    </xdr:from>
    <xdr:to>
      <xdr:col>29</xdr:col>
      <xdr:colOff>89296</xdr:colOff>
      <xdr:row>2</xdr:row>
      <xdr:rowOff>114102</xdr:rowOff>
    </xdr:to>
    <xdr:sp macro="" textlink="$I$4">
      <xdr:nvSpPr>
        <xdr:cNvPr id="22" name="Rectangle 21">
          <a:extLst>
            <a:ext uri="{FF2B5EF4-FFF2-40B4-BE49-F238E27FC236}">
              <a16:creationId xmlns:a16="http://schemas.microsoft.com/office/drawing/2014/main" id="{9B7BAA03-C296-4698-8CF4-0D2CDB5C37E2}"/>
            </a:ext>
          </a:extLst>
        </xdr:cNvPr>
        <xdr:cNvSpPr/>
      </xdr:nvSpPr>
      <xdr:spPr>
        <a:xfrm flipH="1">
          <a:off x="10512262" y="88473"/>
          <a:ext cx="1522972" cy="392738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7CCC7E4-D351-43A5-B697-CE8115FFBC59}" type="TxLink">
            <a:rPr lang="en-US" sz="2400" b="0" i="0" u="none" strike="noStrike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Narrow"/>
            </a:rPr>
            <a:pPr algn="l"/>
            <a:t>July</a:t>
          </a:fld>
          <a:endParaRPr lang="en-US" sz="2400" b="0" cap="none" spc="0">
            <a:ln w="0"/>
            <a:solidFill>
              <a:schemeClr val="accent2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82172</xdr:colOff>
      <xdr:row>3</xdr:row>
      <xdr:rowOff>59266</xdr:rowOff>
    </xdr:from>
    <xdr:to>
      <xdr:col>2</xdr:col>
      <xdr:colOff>566738</xdr:colOff>
      <xdr:row>5</xdr:row>
      <xdr:rowOff>125034</xdr:rowOff>
    </xdr:to>
    <xdr:sp macro="" textlink="">
      <xdr:nvSpPr>
        <xdr:cNvPr id="23" name="Rectangle: Rounded Corner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E2EE2B6-4BA1-4B7B-BA04-C30AB8EEA1F2}"/>
            </a:ext>
          </a:extLst>
        </xdr:cNvPr>
        <xdr:cNvSpPr/>
      </xdr:nvSpPr>
      <xdr:spPr>
        <a:xfrm>
          <a:off x="82172" y="611716"/>
          <a:ext cx="1703766" cy="44041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January</a:t>
          </a:r>
          <a:endParaRPr lang="en-US" sz="1100"/>
        </a:p>
      </xdr:txBody>
    </xdr:sp>
    <xdr:clientData/>
  </xdr:twoCellAnchor>
  <xdr:twoCellAnchor editAs="oneCell">
    <xdr:from>
      <xdr:col>22</xdr:col>
      <xdr:colOff>96764</xdr:colOff>
      <xdr:row>1</xdr:row>
      <xdr:rowOff>84667</xdr:rowOff>
    </xdr:from>
    <xdr:to>
      <xdr:col>23</xdr:col>
      <xdr:colOff>48381</xdr:colOff>
      <xdr:row>2</xdr:row>
      <xdr:rowOff>114904</xdr:rowOff>
    </xdr:to>
    <xdr:pic>
      <xdr:nvPicPr>
        <xdr:cNvPr id="24" name="Graphic 23" descr="Magnifying glass with solid fill">
          <a:extLst>
            <a:ext uri="{FF2B5EF4-FFF2-40B4-BE49-F238E27FC236}">
              <a16:creationId xmlns:a16="http://schemas.microsoft.com/office/drawing/2014/main" id="{D63E3190-D9DD-43DE-918B-33A07F04F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rot="5400000">
          <a:off x="10204754" y="270027"/>
          <a:ext cx="214387" cy="211967"/>
        </a:xfrm>
        <a:prstGeom prst="rect">
          <a:avLst/>
        </a:prstGeom>
      </xdr:spPr>
    </xdr:pic>
    <xdr:clientData/>
  </xdr:twoCellAnchor>
  <xdr:twoCellAnchor>
    <xdr:from>
      <xdr:col>30</xdr:col>
      <xdr:colOff>18141</xdr:colOff>
      <xdr:row>0</xdr:row>
      <xdr:rowOff>66525</xdr:rowOff>
    </xdr:from>
    <xdr:to>
      <xdr:col>32</xdr:col>
      <xdr:colOff>84666</xdr:colOff>
      <xdr:row>2</xdr:row>
      <xdr:rowOff>54429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3551E96A-DD8B-45C4-A027-BD2F2E0589D8}"/>
            </a:ext>
          </a:extLst>
        </xdr:cNvPr>
        <xdr:cNvSpPr/>
      </xdr:nvSpPr>
      <xdr:spPr>
        <a:xfrm>
          <a:off x="12241891" y="66525"/>
          <a:ext cx="511025" cy="3562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🟢</a:t>
          </a:r>
        </a:p>
      </xdr:txBody>
    </xdr:sp>
    <xdr:clientData/>
  </xdr:twoCellAnchor>
  <xdr:twoCellAnchor>
    <xdr:from>
      <xdr:col>35</xdr:col>
      <xdr:colOff>72574</xdr:colOff>
      <xdr:row>0</xdr:row>
      <xdr:rowOff>84668</xdr:rowOff>
    </xdr:from>
    <xdr:to>
      <xdr:col>38</xdr:col>
      <xdr:colOff>223764</xdr:colOff>
      <xdr:row>2</xdr:row>
      <xdr:rowOff>48382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9B98578D-F190-494F-A91B-B2AD10648A85}"/>
            </a:ext>
          </a:extLst>
        </xdr:cNvPr>
        <xdr:cNvSpPr/>
      </xdr:nvSpPr>
      <xdr:spPr>
        <a:xfrm>
          <a:off x="13579024" y="84668"/>
          <a:ext cx="925890" cy="33201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ABSENT</a:t>
          </a:r>
        </a:p>
      </xdr:txBody>
    </xdr:sp>
    <xdr:clientData/>
  </xdr:twoCellAnchor>
  <xdr:twoCellAnchor>
    <xdr:from>
      <xdr:col>34</xdr:col>
      <xdr:colOff>85877</xdr:colOff>
      <xdr:row>0</xdr:row>
      <xdr:rowOff>61685</xdr:rowOff>
    </xdr:from>
    <xdr:to>
      <xdr:col>35</xdr:col>
      <xdr:colOff>266096</xdr:colOff>
      <xdr:row>2</xdr:row>
      <xdr:rowOff>42333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5042E800-DC8D-4A05-AD5E-54318A8084A3}"/>
            </a:ext>
          </a:extLst>
        </xdr:cNvPr>
        <xdr:cNvSpPr/>
      </xdr:nvSpPr>
      <xdr:spPr>
        <a:xfrm>
          <a:off x="13331977" y="61685"/>
          <a:ext cx="440569" cy="34894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US" sz="1100"/>
            <a:t>🔴</a:t>
          </a:r>
        </a:p>
      </xdr:txBody>
    </xdr:sp>
    <xdr:clientData/>
  </xdr:twoCellAnchor>
  <xdr:twoCellAnchor>
    <xdr:from>
      <xdr:col>31</xdr:col>
      <xdr:colOff>181429</xdr:colOff>
      <xdr:row>0</xdr:row>
      <xdr:rowOff>127001</xdr:rowOff>
    </xdr:from>
    <xdr:to>
      <xdr:col>34</xdr:col>
      <xdr:colOff>127000</xdr:colOff>
      <xdr:row>2</xdr:row>
      <xdr:rowOff>24191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2C7641AA-E384-4E23-82EF-348872BA944B}"/>
            </a:ext>
          </a:extLst>
        </xdr:cNvPr>
        <xdr:cNvSpPr/>
      </xdr:nvSpPr>
      <xdr:spPr>
        <a:xfrm>
          <a:off x="12608379" y="127001"/>
          <a:ext cx="764721" cy="26549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PRESENT</a:t>
          </a:r>
        </a:p>
      </xdr:txBody>
    </xdr:sp>
    <xdr:clientData/>
  </xdr:twoCellAnchor>
  <xdr:twoCellAnchor>
    <xdr:from>
      <xdr:col>40</xdr:col>
      <xdr:colOff>96764</xdr:colOff>
      <xdr:row>0</xdr:row>
      <xdr:rowOff>60477</xdr:rowOff>
    </xdr:from>
    <xdr:to>
      <xdr:col>42</xdr:col>
      <xdr:colOff>42334</xdr:colOff>
      <xdr:row>2</xdr:row>
      <xdr:rowOff>60476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5686293F-EC6A-4F3D-BF9E-AC9C2F87DD91}"/>
            </a:ext>
          </a:extLst>
        </xdr:cNvPr>
        <xdr:cNvSpPr/>
      </xdr:nvSpPr>
      <xdr:spPr>
        <a:xfrm>
          <a:off x="14924014" y="60477"/>
          <a:ext cx="910770" cy="36829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LEAVE</a:t>
          </a:r>
        </a:p>
      </xdr:txBody>
    </xdr:sp>
    <xdr:clientData/>
  </xdr:twoCellAnchor>
  <xdr:twoCellAnchor>
    <xdr:from>
      <xdr:col>39</xdr:col>
      <xdr:colOff>99180</xdr:colOff>
      <xdr:row>0</xdr:row>
      <xdr:rowOff>50801</xdr:rowOff>
    </xdr:from>
    <xdr:to>
      <xdr:col>40</xdr:col>
      <xdr:colOff>302381</xdr:colOff>
      <xdr:row>2</xdr:row>
      <xdr:rowOff>60477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E0F65639-F8C9-4733-B844-0145101802B6}"/>
            </a:ext>
          </a:extLst>
        </xdr:cNvPr>
        <xdr:cNvSpPr/>
      </xdr:nvSpPr>
      <xdr:spPr>
        <a:xfrm>
          <a:off x="14634330" y="50801"/>
          <a:ext cx="495301" cy="377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39</xdr:col>
      <xdr:colOff>247954</xdr:colOff>
      <xdr:row>0</xdr:row>
      <xdr:rowOff>60477</xdr:rowOff>
    </xdr:from>
    <xdr:to>
      <xdr:col>41</xdr:col>
      <xdr:colOff>514048</xdr:colOff>
      <xdr:row>2</xdr:row>
      <xdr:rowOff>60476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7036A41E-2460-450D-9170-09A25CC862F7}"/>
            </a:ext>
          </a:extLst>
        </xdr:cNvPr>
        <xdr:cNvSpPr/>
      </xdr:nvSpPr>
      <xdr:spPr>
        <a:xfrm>
          <a:off x="14783104" y="60477"/>
          <a:ext cx="913794" cy="36829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LEAVE</a:t>
          </a:r>
        </a:p>
      </xdr:txBody>
    </xdr:sp>
    <xdr:clientData/>
  </xdr:twoCellAnchor>
  <xdr:twoCellAnchor>
    <xdr:from>
      <xdr:col>38</xdr:col>
      <xdr:colOff>214085</xdr:colOff>
      <xdr:row>0</xdr:row>
      <xdr:rowOff>50801</xdr:rowOff>
    </xdr:from>
    <xdr:to>
      <xdr:col>40</xdr:col>
      <xdr:colOff>163286</xdr:colOff>
      <xdr:row>2</xdr:row>
      <xdr:rowOff>60477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DD6C5250-8E56-4F9F-B67B-196084BD601A}"/>
            </a:ext>
          </a:extLst>
        </xdr:cNvPr>
        <xdr:cNvSpPr/>
      </xdr:nvSpPr>
      <xdr:spPr>
        <a:xfrm>
          <a:off x="14495235" y="50801"/>
          <a:ext cx="495301" cy="377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557648</xdr:colOff>
      <xdr:row>0</xdr:row>
      <xdr:rowOff>0</xdr:rowOff>
    </xdr:from>
    <xdr:to>
      <xdr:col>42</xdr:col>
      <xdr:colOff>290286</xdr:colOff>
      <xdr:row>2</xdr:row>
      <xdr:rowOff>156883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F421023-1B95-4142-A6A4-44C01AE5BA2F}"/>
            </a:ext>
          </a:extLst>
        </xdr:cNvPr>
        <xdr:cNvSpPr/>
      </xdr:nvSpPr>
      <xdr:spPr>
        <a:xfrm>
          <a:off x="1776848" y="0"/>
          <a:ext cx="14305888" cy="5251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KKKI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590550</xdr:colOff>
      <xdr:row>38</xdr:row>
      <xdr:rowOff>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A829F3-66FC-4BC4-A1C7-D17A00F9581B}"/>
            </a:ext>
          </a:extLst>
        </xdr:cNvPr>
        <xdr:cNvSpPr/>
      </xdr:nvSpPr>
      <xdr:spPr>
        <a:xfrm>
          <a:off x="0" y="0"/>
          <a:ext cx="1809750" cy="703580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66146</xdr:colOff>
      <xdr:row>6</xdr:row>
      <xdr:rowOff>10583</xdr:rowOff>
    </xdr:from>
    <xdr:to>
      <xdr:col>2</xdr:col>
      <xdr:colOff>551921</xdr:colOff>
      <xdr:row>8</xdr:row>
      <xdr:rowOff>100541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3F6CB-50EA-42F8-A115-FDEEE0BA6232}"/>
            </a:ext>
          </a:extLst>
        </xdr:cNvPr>
        <xdr:cNvSpPr/>
      </xdr:nvSpPr>
      <xdr:spPr>
        <a:xfrm>
          <a:off x="66146" y="1147233"/>
          <a:ext cx="1704975" cy="44555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February</a:t>
          </a:r>
          <a:endParaRPr lang="en-US" sz="1100"/>
        </a:p>
      </xdr:txBody>
    </xdr:sp>
    <xdr:clientData/>
  </xdr:twoCellAnchor>
  <xdr:twoCellAnchor>
    <xdr:from>
      <xdr:col>0</xdr:col>
      <xdr:colOff>68263</xdr:colOff>
      <xdr:row>8</xdr:row>
      <xdr:rowOff>185207</xdr:rowOff>
    </xdr:from>
    <xdr:to>
      <xdr:col>2</xdr:col>
      <xdr:colOff>554038</xdr:colOff>
      <xdr:row>11</xdr:row>
      <xdr:rowOff>95249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8784FE-1668-4574-9BE2-08A51CC50B7A}"/>
            </a:ext>
          </a:extLst>
        </xdr:cNvPr>
        <xdr:cNvSpPr/>
      </xdr:nvSpPr>
      <xdr:spPr>
        <a:xfrm>
          <a:off x="68263" y="1677457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March</a:t>
          </a:r>
          <a:endParaRPr lang="en-US" sz="1100"/>
        </a:p>
      </xdr:txBody>
    </xdr:sp>
    <xdr:clientData/>
  </xdr:twoCellAnchor>
  <xdr:twoCellAnchor>
    <xdr:from>
      <xdr:col>0</xdr:col>
      <xdr:colOff>68263</xdr:colOff>
      <xdr:row>11</xdr:row>
      <xdr:rowOff>147636</xdr:rowOff>
    </xdr:from>
    <xdr:to>
      <xdr:col>2</xdr:col>
      <xdr:colOff>554038</xdr:colOff>
      <xdr:row>14</xdr:row>
      <xdr:rowOff>57678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46857FC-DCC9-4637-AF61-ECAA13497953}"/>
            </a:ext>
          </a:extLst>
        </xdr:cNvPr>
        <xdr:cNvSpPr/>
      </xdr:nvSpPr>
      <xdr:spPr>
        <a:xfrm>
          <a:off x="68263" y="2192336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April</a:t>
          </a:r>
          <a:endParaRPr lang="en-US" sz="1100"/>
        </a:p>
      </xdr:txBody>
    </xdr:sp>
    <xdr:clientData/>
  </xdr:twoCellAnchor>
  <xdr:twoCellAnchor>
    <xdr:from>
      <xdr:col>0</xdr:col>
      <xdr:colOff>79375</xdr:colOff>
      <xdr:row>14</xdr:row>
      <xdr:rowOff>129116</xdr:rowOff>
    </xdr:from>
    <xdr:to>
      <xdr:col>2</xdr:col>
      <xdr:colOff>565150</xdr:colOff>
      <xdr:row>17</xdr:row>
      <xdr:rowOff>39158</xdr:rowOff>
    </xdr:to>
    <xdr:sp macro="" textlink="">
      <xdr:nvSpPr>
        <xdr:cNvPr id="8" name="Rectangle: Rounded Corner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B77E6E9-00FF-43D8-A028-2FF283A5D556}"/>
            </a:ext>
          </a:extLst>
        </xdr:cNvPr>
        <xdr:cNvSpPr/>
      </xdr:nvSpPr>
      <xdr:spPr>
        <a:xfrm>
          <a:off x="79375" y="2726266"/>
          <a:ext cx="1704975" cy="4751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May</a:t>
          </a:r>
          <a:endParaRPr lang="en-US" sz="1100"/>
        </a:p>
      </xdr:txBody>
    </xdr:sp>
    <xdr:clientData/>
  </xdr:twoCellAnchor>
  <xdr:twoCellAnchor>
    <xdr:from>
      <xdr:col>0</xdr:col>
      <xdr:colOff>71968</xdr:colOff>
      <xdr:row>17</xdr:row>
      <xdr:rowOff>125411</xdr:rowOff>
    </xdr:from>
    <xdr:to>
      <xdr:col>2</xdr:col>
      <xdr:colOff>557743</xdr:colOff>
      <xdr:row>20</xdr:row>
      <xdr:rowOff>35453</xdr:rowOff>
    </xdr:to>
    <xdr:sp macro="" textlink="">
      <xdr:nvSpPr>
        <xdr:cNvPr id="9" name="Rectangle: Rounded Corner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8D8686-B956-422E-86E7-BE8357014609}"/>
            </a:ext>
          </a:extLst>
        </xdr:cNvPr>
        <xdr:cNvSpPr/>
      </xdr:nvSpPr>
      <xdr:spPr>
        <a:xfrm>
          <a:off x="71968" y="3287711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June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20</xdr:row>
      <xdr:rowOff>114299</xdr:rowOff>
    </xdr:from>
    <xdr:to>
      <xdr:col>2</xdr:col>
      <xdr:colOff>551921</xdr:colOff>
      <xdr:row>23</xdr:row>
      <xdr:rowOff>19049</xdr:rowOff>
    </xdr:to>
    <xdr:sp macro="" textlink="">
      <xdr:nvSpPr>
        <xdr:cNvPr id="10" name="Rectangle: Rounded Corner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B8B33F4-34CE-40C2-8557-26ED4F869C0D}"/>
            </a:ext>
          </a:extLst>
        </xdr:cNvPr>
        <xdr:cNvSpPr/>
      </xdr:nvSpPr>
      <xdr:spPr>
        <a:xfrm>
          <a:off x="66146" y="3829049"/>
          <a:ext cx="1704975" cy="45720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July</a:t>
          </a:r>
          <a:endParaRPr lang="en-US" sz="1100"/>
        </a:p>
      </xdr:txBody>
    </xdr:sp>
    <xdr:clientData/>
  </xdr:twoCellAnchor>
  <xdr:twoCellAnchor>
    <xdr:from>
      <xdr:col>1</xdr:col>
      <xdr:colOff>110067</xdr:colOff>
      <xdr:row>23</xdr:row>
      <xdr:rowOff>92605</xdr:rowOff>
    </xdr:from>
    <xdr:to>
      <xdr:col>3</xdr:col>
      <xdr:colOff>595842</xdr:colOff>
      <xdr:row>25</xdr:row>
      <xdr:rowOff>182564</xdr:rowOff>
    </xdr:to>
    <xdr:sp macro="" textlink="">
      <xdr:nvSpPr>
        <xdr:cNvPr id="11" name="Rectangle: Rounded Corner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CD65544-25AF-4074-83B5-E3D0A9303CE9}"/>
            </a:ext>
          </a:extLst>
        </xdr:cNvPr>
        <xdr:cNvSpPr/>
      </xdr:nvSpPr>
      <xdr:spPr>
        <a:xfrm>
          <a:off x="719667" y="4359805"/>
          <a:ext cx="1704975" cy="458259"/>
        </a:xfrm>
        <a:prstGeom prst="roundRect">
          <a:avLst/>
        </a:prstGeom>
        <a:solidFill>
          <a:schemeClr val="bg2"/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August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26</xdr:row>
      <xdr:rowOff>58888</xdr:rowOff>
    </xdr:from>
    <xdr:to>
      <xdr:col>2</xdr:col>
      <xdr:colOff>551921</xdr:colOff>
      <xdr:row>28</xdr:row>
      <xdr:rowOff>146579</xdr:rowOff>
    </xdr:to>
    <xdr:sp macro="" textlink="">
      <xdr:nvSpPr>
        <xdr:cNvPr id="12" name="Rectangle: Rounded Corner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66CA1A5-3D56-4F39-99F0-7116085BAC35}"/>
            </a:ext>
          </a:extLst>
        </xdr:cNvPr>
        <xdr:cNvSpPr/>
      </xdr:nvSpPr>
      <xdr:spPr>
        <a:xfrm>
          <a:off x="66146" y="4878538"/>
          <a:ext cx="1704975" cy="46234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Steptember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29</xdr:row>
      <xdr:rowOff>41880</xdr:rowOff>
    </xdr:from>
    <xdr:to>
      <xdr:col>2</xdr:col>
      <xdr:colOff>551921</xdr:colOff>
      <xdr:row>31</xdr:row>
      <xdr:rowOff>129571</xdr:rowOff>
    </xdr:to>
    <xdr:sp macro="" textlink="">
      <xdr:nvSpPr>
        <xdr:cNvPr id="13" name="Rectangle: Rounded Corner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FE49224-B7E9-46C8-840E-BEC0E22B69EF}"/>
            </a:ext>
          </a:extLst>
        </xdr:cNvPr>
        <xdr:cNvSpPr/>
      </xdr:nvSpPr>
      <xdr:spPr>
        <a:xfrm>
          <a:off x="66146" y="5420330"/>
          <a:ext cx="1704975" cy="45599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October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32</xdr:row>
      <xdr:rowOff>8165</xdr:rowOff>
    </xdr:from>
    <xdr:to>
      <xdr:col>2</xdr:col>
      <xdr:colOff>551921</xdr:colOff>
      <xdr:row>34</xdr:row>
      <xdr:rowOff>103415</xdr:rowOff>
    </xdr:to>
    <xdr:sp macro="" textlink="">
      <xdr:nvSpPr>
        <xdr:cNvPr id="14" name="Rectangle: Rounded Corners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A75B1F6-E24A-4191-A1A3-A103613FCACE}"/>
            </a:ext>
          </a:extLst>
        </xdr:cNvPr>
        <xdr:cNvSpPr/>
      </xdr:nvSpPr>
      <xdr:spPr>
        <a:xfrm>
          <a:off x="66146" y="5939065"/>
          <a:ext cx="1704975" cy="46355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November</a:t>
          </a:r>
          <a:endParaRPr lang="en-US" sz="1100"/>
        </a:p>
      </xdr:txBody>
    </xdr:sp>
    <xdr:clientData/>
  </xdr:twoCellAnchor>
  <xdr:twoCellAnchor>
    <xdr:from>
      <xdr:col>0</xdr:col>
      <xdr:colOff>79376</xdr:colOff>
      <xdr:row>34</xdr:row>
      <xdr:rowOff>183773</xdr:rowOff>
    </xdr:from>
    <xdr:to>
      <xdr:col>2</xdr:col>
      <xdr:colOff>565151</xdr:colOff>
      <xdr:row>37</xdr:row>
      <xdr:rowOff>93814</xdr:rowOff>
    </xdr:to>
    <xdr:sp macro="" textlink="">
      <xdr:nvSpPr>
        <xdr:cNvPr id="15" name="Rectangle: Rounded Corners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08286BC-5976-4568-8D11-2838DA3BE7D3}"/>
            </a:ext>
          </a:extLst>
        </xdr:cNvPr>
        <xdr:cNvSpPr/>
      </xdr:nvSpPr>
      <xdr:spPr>
        <a:xfrm>
          <a:off x="79376" y="6482973"/>
          <a:ext cx="1704975" cy="46249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December</a:t>
          </a:r>
          <a:endParaRPr lang="en-US" sz="1100"/>
        </a:p>
      </xdr:txBody>
    </xdr:sp>
    <xdr:clientData/>
  </xdr:twoCellAnchor>
  <xdr:twoCellAnchor>
    <xdr:from>
      <xdr:col>42</xdr:col>
      <xdr:colOff>597648</xdr:colOff>
      <xdr:row>0</xdr:row>
      <xdr:rowOff>0</xdr:rowOff>
    </xdr:from>
    <xdr:to>
      <xdr:col>57</xdr:col>
      <xdr:colOff>14942</xdr:colOff>
      <xdr:row>2</xdr:row>
      <xdr:rowOff>171824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A3455D-83A9-4DE2-82ED-CFB38664547F}"/>
            </a:ext>
          </a:extLst>
        </xdr:cNvPr>
        <xdr:cNvSpPr/>
      </xdr:nvSpPr>
      <xdr:spPr>
        <a:xfrm>
          <a:off x="16390098" y="0"/>
          <a:ext cx="9710644" cy="5401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chemeClr val="bg1"/>
              </a:solidFill>
            </a:rPr>
            <a:t>Monthly</a:t>
          </a:r>
          <a:r>
            <a:rPr lang="en-US" sz="2800" b="1" baseline="0">
              <a:solidFill>
                <a:schemeClr val="bg1"/>
              </a:solidFill>
            </a:rPr>
            <a:t> Report</a:t>
          </a:r>
          <a:endParaRPr lang="en-US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528632</xdr:colOff>
      <xdr:row>0</xdr:row>
      <xdr:rowOff>145304</xdr:rowOff>
    </xdr:from>
    <xdr:to>
      <xdr:col>4</xdr:col>
      <xdr:colOff>506218</xdr:colOff>
      <xdr:row>2</xdr:row>
      <xdr:rowOff>69134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5A773E7-895B-408C-ACC5-29E5603E95FF}"/>
            </a:ext>
          </a:extLst>
        </xdr:cNvPr>
        <xdr:cNvSpPr/>
      </xdr:nvSpPr>
      <xdr:spPr>
        <a:xfrm>
          <a:off x="1747832" y="145304"/>
          <a:ext cx="1196786" cy="29213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FROM</a:t>
          </a:r>
        </a:p>
      </xdr:txBody>
    </xdr:sp>
    <xdr:clientData/>
  </xdr:twoCellAnchor>
  <xdr:twoCellAnchor>
    <xdr:from>
      <xdr:col>7</xdr:col>
      <xdr:colOff>83384</xdr:colOff>
      <xdr:row>0</xdr:row>
      <xdr:rowOff>140822</xdr:rowOff>
    </xdr:from>
    <xdr:to>
      <xdr:col>8</xdr:col>
      <xdr:colOff>471853</xdr:colOff>
      <xdr:row>2</xdr:row>
      <xdr:rowOff>64652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6F208D4-E5D3-4B4F-B1B0-645E5EFF8EDE}"/>
            </a:ext>
          </a:extLst>
        </xdr:cNvPr>
        <xdr:cNvSpPr/>
      </xdr:nvSpPr>
      <xdr:spPr>
        <a:xfrm>
          <a:off x="4604584" y="140822"/>
          <a:ext cx="1207619" cy="29213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TO</a:t>
          </a:r>
        </a:p>
        <a:p>
          <a:pPr marL="0" indent="0" algn="ctr"/>
          <a:endParaRPr lang="en-US" sz="16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494264</xdr:colOff>
      <xdr:row>0</xdr:row>
      <xdr:rowOff>148292</xdr:rowOff>
    </xdr:from>
    <xdr:to>
      <xdr:col>6</xdr:col>
      <xdr:colOff>471851</xdr:colOff>
      <xdr:row>2</xdr:row>
      <xdr:rowOff>72122</xdr:rowOff>
    </xdr:to>
    <xdr:sp macro="" textlink="$G$5">
      <xdr:nvSpPr>
        <xdr:cNvPr id="19" name="Rectangle 18">
          <a:extLst>
            <a:ext uri="{FF2B5EF4-FFF2-40B4-BE49-F238E27FC236}">
              <a16:creationId xmlns:a16="http://schemas.microsoft.com/office/drawing/2014/main" id="{59FBB2D0-1850-4101-A1F6-AD7C5E47A6F2}"/>
            </a:ext>
          </a:extLst>
        </xdr:cNvPr>
        <xdr:cNvSpPr/>
      </xdr:nvSpPr>
      <xdr:spPr>
        <a:xfrm>
          <a:off x="2932664" y="148292"/>
          <a:ext cx="1196787" cy="29213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1BAFFE97-76C2-4FA9-8172-754635694528}" type="TxLink">
            <a:rPr lang="en-US" sz="1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pPr algn="ctr"/>
            <a:t>01-Aug-2025</a:t>
          </a:fld>
          <a:endParaRPr lang="en-US" sz="1400"/>
        </a:p>
      </xdr:txBody>
    </xdr:sp>
    <xdr:clientData/>
  </xdr:twoCellAnchor>
  <xdr:twoCellAnchor>
    <xdr:from>
      <xdr:col>8</xdr:col>
      <xdr:colOff>490329</xdr:colOff>
      <xdr:row>0</xdr:row>
      <xdr:rowOff>134874</xdr:rowOff>
    </xdr:from>
    <xdr:to>
      <xdr:col>11</xdr:col>
      <xdr:colOff>19680</xdr:colOff>
      <xdr:row>2</xdr:row>
      <xdr:rowOff>58704</xdr:rowOff>
    </xdr:to>
    <xdr:sp macro="" textlink="$M$5">
      <xdr:nvSpPr>
        <xdr:cNvPr id="20" name="Rectangle 19">
          <a:extLst>
            <a:ext uri="{FF2B5EF4-FFF2-40B4-BE49-F238E27FC236}">
              <a16:creationId xmlns:a16="http://schemas.microsoft.com/office/drawing/2014/main" id="{E3DA7415-1700-4A58-AB11-28BC8A87702E}"/>
            </a:ext>
          </a:extLst>
        </xdr:cNvPr>
        <xdr:cNvSpPr/>
      </xdr:nvSpPr>
      <xdr:spPr>
        <a:xfrm>
          <a:off x="5830679" y="134874"/>
          <a:ext cx="1212101" cy="29213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F18C7413-8E99-44FA-A55E-E2450FCA2E79}" type="TxLink">
            <a:rPr lang="en-US" sz="1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pPr algn="ctr"/>
            <a:t>31-Aug-2025</a:t>
          </a:fld>
          <a:endParaRPr lang="en-US" sz="1400"/>
        </a:p>
      </xdr:txBody>
    </xdr:sp>
    <xdr:clientData/>
  </xdr:twoCellAnchor>
  <xdr:twoCellAnchor>
    <xdr:from>
      <xdr:col>12</xdr:col>
      <xdr:colOff>205619</xdr:colOff>
      <xdr:row>0</xdr:row>
      <xdr:rowOff>87923</xdr:rowOff>
    </xdr:from>
    <xdr:to>
      <xdr:col>24</xdr:col>
      <xdr:colOff>189802</xdr:colOff>
      <xdr:row>2</xdr:row>
      <xdr:rowOff>113489</xdr:rowOff>
    </xdr:to>
    <xdr:sp macro="" textlink="$M$5">
      <xdr:nvSpPr>
        <xdr:cNvPr id="21" name="Rectangle 20">
          <a:extLst>
            <a:ext uri="{FF2B5EF4-FFF2-40B4-BE49-F238E27FC236}">
              <a16:creationId xmlns:a16="http://schemas.microsoft.com/office/drawing/2014/main" id="{CE2C70D0-8AA6-417F-8377-B0713F3CEF96}"/>
            </a:ext>
          </a:extLst>
        </xdr:cNvPr>
        <xdr:cNvSpPr/>
      </xdr:nvSpPr>
      <xdr:spPr>
        <a:xfrm>
          <a:off x="7501769" y="87923"/>
          <a:ext cx="3260783" cy="393866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Dashboard</a:t>
          </a:r>
          <a:r>
            <a:rPr lang="en-US" sz="2400" baseline="0"/>
            <a:t> For Month   f </a:t>
          </a:r>
          <a:endParaRPr lang="en-US" sz="2400"/>
        </a:p>
      </xdr:txBody>
    </xdr:sp>
    <xdr:clientData/>
  </xdr:twoCellAnchor>
  <xdr:twoCellAnchor>
    <xdr:from>
      <xdr:col>23</xdr:col>
      <xdr:colOff>148864</xdr:colOff>
      <xdr:row>0</xdr:row>
      <xdr:rowOff>88473</xdr:rowOff>
    </xdr:from>
    <xdr:to>
      <xdr:col>29</xdr:col>
      <xdr:colOff>96762</xdr:colOff>
      <xdr:row>2</xdr:row>
      <xdr:rowOff>117230</xdr:rowOff>
    </xdr:to>
    <xdr:sp macro="" textlink="$I$4">
      <xdr:nvSpPr>
        <xdr:cNvPr id="22" name="Rectangle 21">
          <a:extLst>
            <a:ext uri="{FF2B5EF4-FFF2-40B4-BE49-F238E27FC236}">
              <a16:creationId xmlns:a16="http://schemas.microsoft.com/office/drawing/2014/main" id="{ECF29AB0-9604-48F5-A48F-CDD3185D6AF4}"/>
            </a:ext>
          </a:extLst>
        </xdr:cNvPr>
        <xdr:cNvSpPr/>
      </xdr:nvSpPr>
      <xdr:spPr>
        <a:xfrm flipH="1">
          <a:off x="10518414" y="88473"/>
          <a:ext cx="1541748" cy="397057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7CCC7E4-D351-43A5-B697-CE8115FFBC59}" type="TxLink">
            <a:rPr lang="en-US" sz="2400" b="0" i="0" u="none" strike="noStrike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Narrow"/>
            </a:rPr>
            <a:pPr algn="l"/>
            <a:t>August</a:t>
          </a:fld>
          <a:endParaRPr lang="en-US" sz="2400" b="0" cap="none" spc="0">
            <a:ln w="0"/>
            <a:solidFill>
              <a:schemeClr val="accent2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69472</xdr:colOff>
      <xdr:row>3</xdr:row>
      <xdr:rowOff>14816</xdr:rowOff>
    </xdr:from>
    <xdr:to>
      <xdr:col>2</xdr:col>
      <xdr:colOff>554038</xdr:colOff>
      <xdr:row>5</xdr:row>
      <xdr:rowOff>80584</xdr:rowOff>
    </xdr:to>
    <xdr:sp macro="" textlink="">
      <xdr:nvSpPr>
        <xdr:cNvPr id="23" name="Rectangle: Rounded Corner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C82E687-88B4-4CC4-A457-A958400CB324}"/>
            </a:ext>
          </a:extLst>
        </xdr:cNvPr>
        <xdr:cNvSpPr/>
      </xdr:nvSpPr>
      <xdr:spPr>
        <a:xfrm>
          <a:off x="69472" y="567266"/>
          <a:ext cx="1703766" cy="44041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January</a:t>
          </a:r>
          <a:endParaRPr lang="en-US" sz="1100"/>
        </a:p>
      </xdr:txBody>
    </xdr:sp>
    <xdr:clientData/>
  </xdr:twoCellAnchor>
  <xdr:twoCellAnchor editAs="oneCell">
    <xdr:from>
      <xdr:col>22</xdr:col>
      <xdr:colOff>96764</xdr:colOff>
      <xdr:row>1</xdr:row>
      <xdr:rowOff>84667</xdr:rowOff>
    </xdr:from>
    <xdr:to>
      <xdr:col>23</xdr:col>
      <xdr:colOff>48381</xdr:colOff>
      <xdr:row>2</xdr:row>
      <xdr:rowOff>114904</xdr:rowOff>
    </xdr:to>
    <xdr:pic>
      <xdr:nvPicPr>
        <xdr:cNvPr id="24" name="Graphic 23" descr="Magnifying glass with solid fill">
          <a:extLst>
            <a:ext uri="{FF2B5EF4-FFF2-40B4-BE49-F238E27FC236}">
              <a16:creationId xmlns:a16="http://schemas.microsoft.com/office/drawing/2014/main" id="{ED61939D-73CD-4B98-8DF7-0B29C338B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rot="5400000">
          <a:off x="10204754" y="270027"/>
          <a:ext cx="214387" cy="211967"/>
        </a:xfrm>
        <a:prstGeom prst="rect">
          <a:avLst/>
        </a:prstGeom>
      </xdr:spPr>
    </xdr:pic>
    <xdr:clientData/>
  </xdr:twoCellAnchor>
  <xdr:twoCellAnchor>
    <xdr:from>
      <xdr:col>30</xdr:col>
      <xdr:colOff>18141</xdr:colOff>
      <xdr:row>0</xdr:row>
      <xdr:rowOff>66525</xdr:rowOff>
    </xdr:from>
    <xdr:to>
      <xdr:col>32</xdr:col>
      <xdr:colOff>84666</xdr:colOff>
      <xdr:row>2</xdr:row>
      <xdr:rowOff>54429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471DEC53-EEB7-48A7-AD25-86A103D242BA}"/>
            </a:ext>
          </a:extLst>
        </xdr:cNvPr>
        <xdr:cNvSpPr/>
      </xdr:nvSpPr>
      <xdr:spPr>
        <a:xfrm>
          <a:off x="12241891" y="66525"/>
          <a:ext cx="511025" cy="3562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🟢</a:t>
          </a:r>
        </a:p>
      </xdr:txBody>
    </xdr:sp>
    <xdr:clientData/>
  </xdr:twoCellAnchor>
  <xdr:twoCellAnchor>
    <xdr:from>
      <xdr:col>35</xdr:col>
      <xdr:colOff>72574</xdr:colOff>
      <xdr:row>0</xdr:row>
      <xdr:rowOff>84668</xdr:rowOff>
    </xdr:from>
    <xdr:to>
      <xdr:col>38</xdr:col>
      <xdr:colOff>223764</xdr:colOff>
      <xdr:row>2</xdr:row>
      <xdr:rowOff>48382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1EDCC98A-90E1-4611-B731-0CF9B29B7767}"/>
            </a:ext>
          </a:extLst>
        </xdr:cNvPr>
        <xdr:cNvSpPr/>
      </xdr:nvSpPr>
      <xdr:spPr>
        <a:xfrm>
          <a:off x="13579024" y="84668"/>
          <a:ext cx="925890" cy="33201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ABSENT</a:t>
          </a:r>
        </a:p>
      </xdr:txBody>
    </xdr:sp>
    <xdr:clientData/>
  </xdr:twoCellAnchor>
  <xdr:twoCellAnchor>
    <xdr:from>
      <xdr:col>34</xdr:col>
      <xdr:colOff>85877</xdr:colOff>
      <xdr:row>0</xdr:row>
      <xdr:rowOff>61685</xdr:rowOff>
    </xdr:from>
    <xdr:to>
      <xdr:col>35</xdr:col>
      <xdr:colOff>266096</xdr:colOff>
      <xdr:row>2</xdr:row>
      <xdr:rowOff>42333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5211A571-6821-46D5-AD5D-AB7B3F0C1310}"/>
            </a:ext>
          </a:extLst>
        </xdr:cNvPr>
        <xdr:cNvSpPr/>
      </xdr:nvSpPr>
      <xdr:spPr>
        <a:xfrm>
          <a:off x="13331977" y="61685"/>
          <a:ext cx="440569" cy="34894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US" sz="1100"/>
            <a:t>🔴</a:t>
          </a:r>
        </a:p>
      </xdr:txBody>
    </xdr:sp>
    <xdr:clientData/>
  </xdr:twoCellAnchor>
  <xdr:twoCellAnchor>
    <xdr:from>
      <xdr:col>31</xdr:col>
      <xdr:colOff>181429</xdr:colOff>
      <xdr:row>0</xdr:row>
      <xdr:rowOff>127001</xdr:rowOff>
    </xdr:from>
    <xdr:to>
      <xdr:col>34</xdr:col>
      <xdr:colOff>127000</xdr:colOff>
      <xdr:row>2</xdr:row>
      <xdr:rowOff>24191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D8B9DCC8-2219-4F75-B3EF-7D5A40B323DF}"/>
            </a:ext>
          </a:extLst>
        </xdr:cNvPr>
        <xdr:cNvSpPr/>
      </xdr:nvSpPr>
      <xdr:spPr>
        <a:xfrm>
          <a:off x="12608379" y="127001"/>
          <a:ext cx="764721" cy="26549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PRESENT</a:t>
          </a:r>
        </a:p>
      </xdr:txBody>
    </xdr:sp>
    <xdr:clientData/>
  </xdr:twoCellAnchor>
  <xdr:twoCellAnchor>
    <xdr:from>
      <xdr:col>40</xdr:col>
      <xdr:colOff>96764</xdr:colOff>
      <xdr:row>0</xdr:row>
      <xdr:rowOff>60477</xdr:rowOff>
    </xdr:from>
    <xdr:to>
      <xdr:col>42</xdr:col>
      <xdr:colOff>42334</xdr:colOff>
      <xdr:row>2</xdr:row>
      <xdr:rowOff>60476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467F4B7A-7872-402E-87A9-BA1018C9BFE2}"/>
            </a:ext>
          </a:extLst>
        </xdr:cNvPr>
        <xdr:cNvSpPr/>
      </xdr:nvSpPr>
      <xdr:spPr>
        <a:xfrm>
          <a:off x="14924014" y="60477"/>
          <a:ext cx="910770" cy="36829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LEAVE</a:t>
          </a:r>
        </a:p>
      </xdr:txBody>
    </xdr:sp>
    <xdr:clientData/>
  </xdr:twoCellAnchor>
  <xdr:twoCellAnchor>
    <xdr:from>
      <xdr:col>39</xdr:col>
      <xdr:colOff>99180</xdr:colOff>
      <xdr:row>0</xdr:row>
      <xdr:rowOff>50801</xdr:rowOff>
    </xdr:from>
    <xdr:to>
      <xdr:col>40</xdr:col>
      <xdr:colOff>302381</xdr:colOff>
      <xdr:row>2</xdr:row>
      <xdr:rowOff>60477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AE2E94EE-9F73-4592-ACAB-3A6D5DB88D08}"/>
            </a:ext>
          </a:extLst>
        </xdr:cNvPr>
        <xdr:cNvSpPr/>
      </xdr:nvSpPr>
      <xdr:spPr>
        <a:xfrm>
          <a:off x="14634330" y="50801"/>
          <a:ext cx="495301" cy="377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39</xdr:col>
      <xdr:colOff>247954</xdr:colOff>
      <xdr:row>0</xdr:row>
      <xdr:rowOff>60477</xdr:rowOff>
    </xdr:from>
    <xdr:to>
      <xdr:col>41</xdr:col>
      <xdr:colOff>514048</xdr:colOff>
      <xdr:row>2</xdr:row>
      <xdr:rowOff>60476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28F56C14-615B-4BA6-A9D2-439ECF8317A7}"/>
            </a:ext>
          </a:extLst>
        </xdr:cNvPr>
        <xdr:cNvSpPr/>
      </xdr:nvSpPr>
      <xdr:spPr>
        <a:xfrm>
          <a:off x="14783104" y="60477"/>
          <a:ext cx="913794" cy="36829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LEAVE</a:t>
          </a:r>
        </a:p>
      </xdr:txBody>
    </xdr:sp>
    <xdr:clientData/>
  </xdr:twoCellAnchor>
  <xdr:twoCellAnchor>
    <xdr:from>
      <xdr:col>38</xdr:col>
      <xdr:colOff>214085</xdr:colOff>
      <xdr:row>0</xdr:row>
      <xdr:rowOff>50801</xdr:rowOff>
    </xdr:from>
    <xdr:to>
      <xdr:col>40</xdr:col>
      <xdr:colOff>163286</xdr:colOff>
      <xdr:row>2</xdr:row>
      <xdr:rowOff>60477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EC4EA49-CD78-44D8-8760-DB93FF8A050A}"/>
            </a:ext>
          </a:extLst>
        </xdr:cNvPr>
        <xdr:cNvSpPr/>
      </xdr:nvSpPr>
      <xdr:spPr>
        <a:xfrm>
          <a:off x="14495235" y="50801"/>
          <a:ext cx="495301" cy="377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557648</xdr:colOff>
      <xdr:row>0</xdr:row>
      <xdr:rowOff>0</xdr:rowOff>
    </xdr:from>
    <xdr:to>
      <xdr:col>42</xdr:col>
      <xdr:colOff>290286</xdr:colOff>
      <xdr:row>2</xdr:row>
      <xdr:rowOff>156883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1992F18-C552-4BD0-B0A3-E6C71F717023}"/>
            </a:ext>
          </a:extLst>
        </xdr:cNvPr>
        <xdr:cNvSpPr/>
      </xdr:nvSpPr>
      <xdr:spPr>
        <a:xfrm>
          <a:off x="1776848" y="0"/>
          <a:ext cx="14305888" cy="5251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KKKI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590550</xdr:colOff>
      <xdr:row>38</xdr:row>
      <xdr:rowOff>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7F2827D-CCF3-4772-A10C-4603B5108D63}"/>
            </a:ext>
          </a:extLst>
        </xdr:cNvPr>
        <xdr:cNvSpPr/>
      </xdr:nvSpPr>
      <xdr:spPr>
        <a:xfrm>
          <a:off x="0" y="0"/>
          <a:ext cx="1809750" cy="703580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66146</xdr:colOff>
      <xdr:row>6</xdr:row>
      <xdr:rowOff>10583</xdr:rowOff>
    </xdr:from>
    <xdr:to>
      <xdr:col>2</xdr:col>
      <xdr:colOff>551921</xdr:colOff>
      <xdr:row>8</xdr:row>
      <xdr:rowOff>100541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8C783F-DBE8-4BAE-9492-E559D80DF0EE}"/>
            </a:ext>
          </a:extLst>
        </xdr:cNvPr>
        <xdr:cNvSpPr/>
      </xdr:nvSpPr>
      <xdr:spPr>
        <a:xfrm>
          <a:off x="66146" y="1147233"/>
          <a:ext cx="1704975" cy="44555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February</a:t>
          </a:r>
          <a:endParaRPr lang="en-US" sz="1100"/>
        </a:p>
      </xdr:txBody>
    </xdr:sp>
    <xdr:clientData/>
  </xdr:twoCellAnchor>
  <xdr:twoCellAnchor>
    <xdr:from>
      <xdr:col>0</xdr:col>
      <xdr:colOff>68263</xdr:colOff>
      <xdr:row>8</xdr:row>
      <xdr:rowOff>185207</xdr:rowOff>
    </xdr:from>
    <xdr:to>
      <xdr:col>2</xdr:col>
      <xdr:colOff>554038</xdr:colOff>
      <xdr:row>11</xdr:row>
      <xdr:rowOff>95249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F7F462-ACD2-4CC6-BDA0-9D50EB126B4B}"/>
            </a:ext>
          </a:extLst>
        </xdr:cNvPr>
        <xdr:cNvSpPr/>
      </xdr:nvSpPr>
      <xdr:spPr>
        <a:xfrm>
          <a:off x="68263" y="1677457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March</a:t>
          </a:r>
          <a:endParaRPr lang="en-US" sz="1100"/>
        </a:p>
      </xdr:txBody>
    </xdr:sp>
    <xdr:clientData/>
  </xdr:twoCellAnchor>
  <xdr:twoCellAnchor>
    <xdr:from>
      <xdr:col>0</xdr:col>
      <xdr:colOff>68263</xdr:colOff>
      <xdr:row>11</xdr:row>
      <xdr:rowOff>147636</xdr:rowOff>
    </xdr:from>
    <xdr:to>
      <xdr:col>2</xdr:col>
      <xdr:colOff>554038</xdr:colOff>
      <xdr:row>14</xdr:row>
      <xdr:rowOff>57678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1B92BFF-A50A-4B6A-8B1E-D51FC5FCCFAB}"/>
            </a:ext>
          </a:extLst>
        </xdr:cNvPr>
        <xdr:cNvSpPr/>
      </xdr:nvSpPr>
      <xdr:spPr>
        <a:xfrm>
          <a:off x="68263" y="2192336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April</a:t>
          </a:r>
          <a:endParaRPr lang="en-US" sz="1100"/>
        </a:p>
      </xdr:txBody>
    </xdr:sp>
    <xdr:clientData/>
  </xdr:twoCellAnchor>
  <xdr:twoCellAnchor>
    <xdr:from>
      <xdr:col>0</xdr:col>
      <xdr:colOff>79375</xdr:colOff>
      <xdr:row>14</xdr:row>
      <xdr:rowOff>129116</xdr:rowOff>
    </xdr:from>
    <xdr:to>
      <xdr:col>2</xdr:col>
      <xdr:colOff>565150</xdr:colOff>
      <xdr:row>17</xdr:row>
      <xdr:rowOff>39158</xdr:rowOff>
    </xdr:to>
    <xdr:sp macro="" textlink="">
      <xdr:nvSpPr>
        <xdr:cNvPr id="8" name="Rectangle: Rounded Corner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10B1741-B373-4514-A92C-6D6E02CF51D5}"/>
            </a:ext>
          </a:extLst>
        </xdr:cNvPr>
        <xdr:cNvSpPr/>
      </xdr:nvSpPr>
      <xdr:spPr>
        <a:xfrm>
          <a:off x="79375" y="2726266"/>
          <a:ext cx="1704975" cy="4751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May</a:t>
          </a:r>
          <a:endParaRPr lang="en-US" sz="1100"/>
        </a:p>
      </xdr:txBody>
    </xdr:sp>
    <xdr:clientData/>
  </xdr:twoCellAnchor>
  <xdr:twoCellAnchor>
    <xdr:from>
      <xdr:col>0</xdr:col>
      <xdr:colOff>71968</xdr:colOff>
      <xdr:row>17</xdr:row>
      <xdr:rowOff>125411</xdr:rowOff>
    </xdr:from>
    <xdr:to>
      <xdr:col>2</xdr:col>
      <xdr:colOff>557743</xdr:colOff>
      <xdr:row>20</xdr:row>
      <xdr:rowOff>35453</xdr:rowOff>
    </xdr:to>
    <xdr:sp macro="" textlink="">
      <xdr:nvSpPr>
        <xdr:cNvPr id="9" name="Rectangle: Rounded Corner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A25B116-5508-4E93-BF84-FF65DD23465A}"/>
            </a:ext>
          </a:extLst>
        </xdr:cNvPr>
        <xdr:cNvSpPr/>
      </xdr:nvSpPr>
      <xdr:spPr>
        <a:xfrm>
          <a:off x="71968" y="3287711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June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20</xdr:row>
      <xdr:rowOff>114299</xdr:rowOff>
    </xdr:from>
    <xdr:to>
      <xdr:col>2</xdr:col>
      <xdr:colOff>551921</xdr:colOff>
      <xdr:row>23</xdr:row>
      <xdr:rowOff>19049</xdr:rowOff>
    </xdr:to>
    <xdr:sp macro="" textlink="">
      <xdr:nvSpPr>
        <xdr:cNvPr id="10" name="Rectangle: Rounded Corner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22B858-0D4F-4F09-BC41-8AAA97F760FB}"/>
            </a:ext>
          </a:extLst>
        </xdr:cNvPr>
        <xdr:cNvSpPr/>
      </xdr:nvSpPr>
      <xdr:spPr>
        <a:xfrm>
          <a:off x="66146" y="3829049"/>
          <a:ext cx="1704975" cy="45720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July</a:t>
          </a:r>
          <a:endParaRPr lang="en-US" sz="1100"/>
        </a:p>
      </xdr:txBody>
    </xdr:sp>
    <xdr:clientData/>
  </xdr:twoCellAnchor>
  <xdr:twoCellAnchor>
    <xdr:from>
      <xdr:col>0</xdr:col>
      <xdr:colOff>71967</xdr:colOff>
      <xdr:row>23</xdr:row>
      <xdr:rowOff>86255</xdr:rowOff>
    </xdr:from>
    <xdr:to>
      <xdr:col>2</xdr:col>
      <xdr:colOff>557742</xdr:colOff>
      <xdr:row>25</xdr:row>
      <xdr:rowOff>176214</xdr:rowOff>
    </xdr:to>
    <xdr:sp macro="" textlink="">
      <xdr:nvSpPr>
        <xdr:cNvPr id="11" name="Rectangle: Rounded Corner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36C800C-0401-4D04-9753-4B9F9DB0650F}"/>
            </a:ext>
          </a:extLst>
        </xdr:cNvPr>
        <xdr:cNvSpPr/>
      </xdr:nvSpPr>
      <xdr:spPr>
        <a:xfrm>
          <a:off x="71967" y="4353455"/>
          <a:ext cx="1704975" cy="45825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August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26</xdr:row>
      <xdr:rowOff>58888</xdr:rowOff>
    </xdr:from>
    <xdr:to>
      <xdr:col>2</xdr:col>
      <xdr:colOff>551921</xdr:colOff>
      <xdr:row>28</xdr:row>
      <xdr:rowOff>146579</xdr:rowOff>
    </xdr:to>
    <xdr:sp macro="" textlink="">
      <xdr:nvSpPr>
        <xdr:cNvPr id="12" name="Rectangle: Rounded Corner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ADA1991-C899-4EA2-A4C8-65A6F6A98DF1}"/>
            </a:ext>
          </a:extLst>
        </xdr:cNvPr>
        <xdr:cNvSpPr/>
      </xdr:nvSpPr>
      <xdr:spPr>
        <a:xfrm>
          <a:off x="66146" y="4878538"/>
          <a:ext cx="1704975" cy="46234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Steptember</a:t>
          </a:r>
          <a:endParaRPr lang="en-US" sz="1100"/>
        </a:p>
      </xdr:txBody>
    </xdr:sp>
    <xdr:clientData/>
  </xdr:twoCellAnchor>
  <xdr:twoCellAnchor>
    <xdr:from>
      <xdr:col>1</xdr:col>
      <xdr:colOff>129646</xdr:colOff>
      <xdr:row>29</xdr:row>
      <xdr:rowOff>10130</xdr:rowOff>
    </xdr:from>
    <xdr:to>
      <xdr:col>4</xdr:col>
      <xdr:colOff>5821</xdr:colOff>
      <xdr:row>31</xdr:row>
      <xdr:rowOff>97821</xdr:rowOff>
    </xdr:to>
    <xdr:sp macro="" textlink="">
      <xdr:nvSpPr>
        <xdr:cNvPr id="13" name="Rectangle: Rounded Corner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01D9336-5436-4BAA-90E3-880C4B6C9601}"/>
            </a:ext>
          </a:extLst>
        </xdr:cNvPr>
        <xdr:cNvSpPr/>
      </xdr:nvSpPr>
      <xdr:spPr>
        <a:xfrm>
          <a:off x="739246" y="5388580"/>
          <a:ext cx="1704975" cy="455991"/>
        </a:xfrm>
        <a:prstGeom prst="roundRect">
          <a:avLst/>
        </a:prstGeom>
        <a:solidFill>
          <a:schemeClr val="bg2"/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October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32</xdr:row>
      <xdr:rowOff>8165</xdr:rowOff>
    </xdr:from>
    <xdr:to>
      <xdr:col>2</xdr:col>
      <xdr:colOff>551921</xdr:colOff>
      <xdr:row>34</xdr:row>
      <xdr:rowOff>103415</xdr:rowOff>
    </xdr:to>
    <xdr:sp macro="" textlink="">
      <xdr:nvSpPr>
        <xdr:cNvPr id="14" name="Rectangle: Rounded Corners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DA77E81-56E6-4486-B921-D34743463F96}"/>
            </a:ext>
          </a:extLst>
        </xdr:cNvPr>
        <xdr:cNvSpPr/>
      </xdr:nvSpPr>
      <xdr:spPr>
        <a:xfrm>
          <a:off x="66146" y="5939065"/>
          <a:ext cx="1704975" cy="46355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November</a:t>
          </a:r>
          <a:endParaRPr lang="en-US" sz="1100"/>
        </a:p>
      </xdr:txBody>
    </xdr:sp>
    <xdr:clientData/>
  </xdr:twoCellAnchor>
  <xdr:twoCellAnchor>
    <xdr:from>
      <xdr:col>0</xdr:col>
      <xdr:colOff>79376</xdr:colOff>
      <xdr:row>34</xdr:row>
      <xdr:rowOff>183773</xdr:rowOff>
    </xdr:from>
    <xdr:to>
      <xdr:col>2</xdr:col>
      <xdr:colOff>565151</xdr:colOff>
      <xdr:row>37</xdr:row>
      <xdr:rowOff>93814</xdr:rowOff>
    </xdr:to>
    <xdr:sp macro="" textlink="">
      <xdr:nvSpPr>
        <xdr:cNvPr id="15" name="Rectangle: Rounded Corners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DFA88D4-9970-44A9-8C54-8AC4F63E1C3E}"/>
            </a:ext>
          </a:extLst>
        </xdr:cNvPr>
        <xdr:cNvSpPr/>
      </xdr:nvSpPr>
      <xdr:spPr>
        <a:xfrm>
          <a:off x="79376" y="6482973"/>
          <a:ext cx="1704975" cy="46249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December</a:t>
          </a:r>
          <a:endParaRPr lang="en-US" sz="1100"/>
        </a:p>
      </xdr:txBody>
    </xdr:sp>
    <xdr:clientData/>
  </xdr:twoCellAnchor>
  <xdr:twoCellAnchor>
    <xdr:from>
      <xdr:col>42</xdr:col>
      <xdr:colOff>597648</xdr:colOff>
      <xdr:row>0</xdr:row>
      <xdr:rowOff>0</xdr:rowOff>
    </xdr:from>
    <xdr:to>
      <xdr:col>57</xdr:col>
      <xdr:colOff>14942</xdr:colOff>
      <xdr:row>2</xdr:row>
      <xdr:rowOff>171824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BE2DBE6-B92B-4B19-B2E5-82BF3D6208EB}"/>
            </a:ext>
          </a:extLst>
        </xdr:cNvPr>
        <xdr:cNvSpPr/>
      </xdr:nvSpPr>
      <xdr:spPr>
        <a:xfrm>
          <a:off x="16390098" y="0"/>
          <a:ext cx="9710644" cy="5401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chemeClr val="bg1"/>
              </a:solidFill>
            </a:rPr>
            <a:t>Monthly</a:t>
          </a:r>
          <a:r>
            <a:rPr lang="en-US" sz="2800" b="1" baseline="0">
              <a:solidFill>
                <a:schemeClr val="bg1"/>
              </a:solidFill>
            </a:rPr>
            <a:t> Report</a:t>
          </a:r>
          <a:endParaRPr lang="en-US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528632</xdr:colOff>
      <xdr:row>0</xdr:row>
      <xdr:rowOff>145304</xdr:rowOff>
    </xdr:from>
    <xdr:to>
      <xdr:col>4</xdr:col>
      <xdr:colOff>506218</xdr:colOff>
      <xdr:row>2</xdr:row>
      <xdr:rowOff>69134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A69D11B2-53DA-4D39-8F43-4D1843C1B260}"/>
            </a:ext>
          </a:extLst>
        </xdr:cNvPr>
        <xdr:cNvSpPr/>
      </xdr:nvSpPr>
      <xdr:spPr>
        <a:xfrm>
          <a:off x="1747832" y="145304"/>
          <a:ext cx="1196786" cy="29213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FROM</a:t>
          </a:r>
        </a:p>
      </xdr:txBody>
    </xdr:sp>
    <xdr:clientData/>
  </xdr:twoCellAnchor>
  <xdr:twoCellAnchor>
    <xdr:from>
      <xdr:col>7</xdr:col>
      <xdr:colOff>83384</xdr:colOff>
      <xdr:row>0</xdr:row>
      <xdr:rowOff>140822</xdr:rowOff>
    </xdr:from>
    <xdr:to>
      <xdr:col>8</xdr:col>
      <xdr:colOff>471853</xdr:colOff>
      <xdr:row>2</xdr:row>
      <xdr:rowOff>64652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538C8BA-0D12-4D44-AAE9-C40A5B922D79}"/>
            </a:ext>
          </a:extLst>
        </xdr:cNvPr>
        <xdr:cNvSpPr/>
      </xdr:nvSpPr>
      <xdr:spPr>
        <a:xfrm>
          <a:off x="4604584" y="140822"/>
          <a:ext cx="1207619" cy="29213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TO</a:t>
          </a:r>
        </a:p>
        <a:p>
          <a:pPr marL="0" indent="0" algn="ctr"/>
          <a:endParaRPr lang="en-US" sz="16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494264</xdr:colOff>
      <xdr:row>0</xdr:row>
      <xdr:rowOff>148292</xdr:rowOff>
    </xdr:from>
    <xdr:to>
      <xdr:col>6</xdr:col>
      <xdr:colOff>471851</xdr:colOff>
      <xdr:row>2</xdr:row>
      <xdr:rowOff>72122</xdr:rowOff>
    </xdr:to>
    <xdr:sp macro="" textlink="$G$5">
      <xdr:nvSpPr>
        <xdr:cNvPr id="19" name="Rectangle 18">
          <a:extLst>
            <a:ext uri="{FF2B5EF4-FFF2-40B4-BE49-F238E27FC236}">
              <a16:creationId xmlns:a16="http://schemas.microsoft.com/office/drawing/2014/main" id="{FD4107A4-B5BC-4624-B26F-3BE1920CD0C1}"/>
            </a:ext>
          </a:extLst>
        </xdr:cNvPr>
        <xdr:cNvSpPr/>
      </xdr:nvSpPr>
      <xdr:spPr>
        <a:xfrm>
          <a:off x="2932664" y="148292"/>
          <a:ext cx="1196787" cy="29213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1BAFFE97-76C2-4FA9-8172-754635694528}" type="TxLink">
            <a:rPr lang="en-US" sz="1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pPr algn="ctr"/>
            <a:t>01-Oct-2025</a:t>
          </a:fld>
          <a:endParaRPr lang="en-US" sz="1400"/>
        </a:p>
      </xdr:txBody>
    </xdr:sp>
    <xdr:clientData/>
  </xdr:twoCellAnchor>
  <xdr:twoCellAnchor>
    <xdr:from>
      <xdr:col>8</xdr:col>
      <xdr:colOff>490329</xdr:colOff>
      <xdr:row>0</xdr:row>
      <xdr:rowOff>134874</xdr:rowOff>
    </xdr:from>
    <xdr:to>
      <xdr:col>11</xdr:col>
      <xdr:colOff>19680</xdr:colOff>
      <xdr:row>2</xdr:row>
      <xdr:rowOff>58704</xdr:rowOff>
    </xdr:to>
    <xdr:sp macro="" textlink="$M$5">
      <xdr:nvSpPr>
        <xdr:cNvPr id="20" name="Rectangle 19">
          <a:extLst>
            <a:ext uri="{FF2B5EF4-FFF2-40B4-BE49-F238E27FC236}">
              <a16:creationId xmlns:a16="http://schemas.microsoft.com/office/drawing/2014/main" id="{1530909B-DC3B-4BD2-8B2E-682BFA8CAEA5}"/>
            </a:ext>
          </a:extLst>
        </xdr:cNvPr>
        <xdr:cNvSpPr/>
      </xdr:nvSpPr>
      <xdr:spPr>
        <a:xfrm>
          <a:off x="5830679" y="134874"/>
          <a:ext cx="1212101" cy="29213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F18C7413-8E99-44FA-A55E-E2450FCA2E79}" type="TxLink">
            <a:rPr lang="en-US" sz="1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pPr algn="ctr"/>
            <a:t>31-Oct-2025</a:t>
          </a:fld>
          <a:endParaRPr lang="en-US" sz="1400"/>
        </a:p>
      </xdr:txBody>
    </xdr:sp>
    <xdr:clientData/>
  </xdr:twoCellAnchor>
  <xdr:twoCellAnchor>
    <xdr:from>
      <xdr:col>12</xdr:col>
      <xdr:colOff>205619</xdr:colOff>
      <xdr:row>0</xdr:row>
      <xdr:rowOff>87923</xdr:rowOff>
    </xdr:from>
    <xdr:to>
      <xdr:col>24</xdr:col>
      <xdr:colOff>189802</xdr:colOff>
      <xdr:row>2</xdr:row>
      <xdr:rowOff>113489</xdr:rowOff>
    </xdr:to>
    <xdr:sp macro="" textlink="$M$5">
      <xdr:nvSpPr>
        <xdr:cNvPr id="21" name="Rectangle 20">
          <a:extLst>
            <a:ext uri="{FF2B5EF4-FFF2-40B4-BE49-F238E27FC236}">
              <a16:creationId xmlns:a16="http://schemas.microsoft.com/office/drawing/2014/main" id="{01D5EB14-A2AE-4B73-A233-962CE48512A0}"/>
            </a:ext>
          </a:extLst>
        </xdr:cNvPr>
        <xdr:cNvSpPr/>
      </xdr:nvSpPr>
      <xdr:spPr>
        <a:xfrm>
          <a:off x="7501769" y="87923"/>
          <a:ext cx="3260783" cy="393866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Dashboard</a:t>
          </a:r>
          <a:r>
            <a:rPr lang="en-US" sz="2400" baseline="0"/>
            <a:t> For Month    f </a:t>
          </a:r>
          <a:endParaRPr lang="en-US" sz="2400"/>
        </a:p>
      </xdr:txBody>
    </xdr:sp>
    <xdr:clientData/>
  </xdr:twoCellAnchor>
  <xdr:twoCellAnchor>
    <xdr:from>
      <xdr:col>23</xdr:col>
      <xdr:colOff>186963</xdr:colOff>
      <xdr:row>0</xdr:row>
      <xdr:rowOff>88472</xdr:rowOff>
    </xdr:from>
    <xdr:to>
      <xdr:col>29</xdr:col>
      <xdr:colOff>98425</xdr:colOff>
      <xdr:row>2</xdr:row>
      <xdr:rowOff>114300</xdr:rowOff>
    </xdr:to>
    <xdr:sp macro="" textlink="$I$4">
      <xdr:nvSpPr>
        <xdr:cNvPr id="22" name="Rectangle 21">
          <a:extLst>
            <a:ext uri="{FF2B5EF4-FFF2-40B4-BE49-F238E27FC236}">
              <a16:creationId xmlns:a16="http://schemas.microsoft.com/office/drawing/2014/main" id="{3E73B16E-6C6A-4FE7-B58C-3C93AB4A8027}"/>
            </a:ext>
          </a:extLst>
        </xdr:cNvPr>
        <xdr:cNvSpPr/>
      </xdr:nvSpPr>
      <xdr:spPr>
        <a:xfrm flipH="1">
          <a:off x="10550163" y="88472"/>
          <a:ext cx="1492612" cy="394128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7CCC7E4-D351-43A5-B697-CE8115FFBC59}" type="TxLink">
            <a:rPr lang="en-US" sz="2400" b="0" i="0" u="none" strike="noStrike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Narrow"/>
            </a:rPr>
            <a:pPr algn="l"/>
            <a:t>October</a:t>
          </a:fld>
          <a:endParaRPr lang="en-US" sz="2400" b="0" cap="none" spc="0">
            <a:ln w="0"/>
            <a:solidFill>
              <a:schemeClr val="accent2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63122</xdr:colOff>
      <xdr:row>3</xdr:row>
      <xdr:rowOff>59266</xdr:rowOff>
    </xdr:from>
    <xdr:to>
      <xdr:col>2</xdr:col>
      <xdr:colOff>547688</xdr:colOff>
      <xdr:row>5</xdr:row>
      <xdr:rowOff>125034</xdr:rowOff>
    </xdr:to>
    <xdr:sp macro="" textlink="">
      <xdr:nvSpPr>
        <xdr:cNvPr id="23" name="Rectangle: Rounded Corner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3A6B17D-FC7C-4CCA-9928-13F743C8711F}"/>
            </a:ext>
          </a:extLst>
        </xdr:cNvPr>
        <xdr:cNvSpPr/>
      </xdr:nvSpPr>
      <xdr:spPr>
        <a:xfrm>
          <a:off x="63122" y="611716"/>
          <a:ext cx="1703766" cy="44041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January</a:t>
          </a:r>
          <a:endParaRPr lang="en-US" sz="1100"/>
        </a:p>
      </xdr:txBody>
    </xdr:sp>
    <xdr:clientData/>
  </xdr:twoCellAnchor>
  <xdr:twoCellAnchor editAs="oneCell">
    <xdr:from>
      <xdr:col>22</xdr:col>
      <xdr:colOff>123824</xdr:colOff>
      <xdr:row>1</xdr:row>
      <xdr:rowOff>65620</xdr:rowOff>
    </xdr:from>
    <xdr:to>
      <xdr:col>23</xdr:col>
      <xdr:colOff>95248</xdr:colOff>
      <xdr:row>2</xdr:row>
      <xdr:rowOff>117799</xdr:rowOff>
    </xdr:to>
    <xdr:pic>
      <xdr:nvPicPr>
        <xdr:cNvPr id="24" name="Graphic 23" descr="Magnifying glass with solid fill">
          <a:extLst>
            <a:ext uri="{FF2B5EF4-FFF2-40B4-BE49-F238E27FC236}">
              <a16:creationId xmlns:a16="http://schemas.microsoft.com/office/drawing/2014/main" id="{9B59426D-FC70-4D2C-8229-959B238D3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rot="5400000">
          <a:off x="10230746" y="252048"/>
          <a:ext cx="236329" cy="231774"/>
        </a:xfrm>
        <a:prstGeom prst="rect">
          <a:avLst/>
        </a:prstGeom>
      </xdr:spPr>
    </xdr:pic>
    <xdr:clientData/>
  </xdr:twoCellAnchor>
  <xdr:twoCellAnchor>
    <xdr:from>
      <xdr:col>30</xdr:col>
      <xdr:colOff>18141</xdr:colOff>
      <xdr:row>0</xdr:row>
      <xdr:rowOff>66525</xdr:rowOff>
    </xdr:from>
    <xdr:to>
      <xdr:col>32</xdr:col>
      <xdr:colOff>84666</xdr:colOff>
      <xdr:row>2</xdr:row>
      <xdr:rowOff>54429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FB62F467-2907-4D81-8671-573E2AE6783E}"/>
            </a:ext>
          </a:extLst>
        </xdr:cNvPr>
        <xdr:cNvSpPr/>
      </xdr:nvSpPr>
      <xdr:spPr>
        <a:xfrm>
          <a:off x="12241891" y="66525"/>
          <a:ext cx="511025" cy="3562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🟢</a:t>
          </a:r>
        </a:p>
      </xdr:txBody>
    </xdr:sp>
    <xdr:clientData/>
  </xdr:twoCellAnchor>
  <xdr:twoCellAnchor>
    <xdr:from>
      <xdr:col>35</xdr:col>
      <xdr:colOff>72574</xdr:colOff>
      <xdr:row>0</xdr:row>
      <xdr:rowOff>84668</xdr:rowOff>
    </xdr:from>
    <xdr:to>
      <xdr:col>38</xdr:col>
      <xdr:colOff>223764</xdr:colOff>
      <xdr:row>2</xdr:row>
      <xdr:rowOff>48382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4BFF991-D91E-4924-AF4D-C82870FB05F7}"/>
            </a:ext>
          </a:extLst>
        </xdr:cNvPr>
        <xdr:cNvSpPr/>
      </xdr:nvSpPr>
      <xdr:spPr>
        <a:xfrm>
          <a:off x="13579024" y="84668"/>
          <a:ext cx="925890" cy="33201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ABSENT</a:t>
          </a:r>
        </a:p>
      </xdr:txBody>
    </xdr:sp>
    <xdr:clientData/>
  </xdr:twoCellAnchor>
  <xdr:twoCellAnchor>
    <xdr:from>
      <xdr:col>34</xdr:col>
      <xdr:colOff>85877</xdr:colOff>
      <xdr:row>0</xdr:row>
      <xdr:rowOff>61685</xdr:rowOff>
    </xdr:from>
    <xdr:to>
      <xdr:col>35</xdr:col>
      <xdr:colOff>266096</xdr:colOff>
      <xdr:row>2</xdr:row>
      <xdr:rowOff>42333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941754E7-83C3-4752-9831-5A10CEEAC7C5}"/>
            </a:ext>
          </a:extLst>
        </xdr:cNvPr>
        <xdr:cNvSpPr/>
      </xdr:nvSpPr>
      <xdr:spPr>
        <a:xfrm>
          <a:off x="13331977" y="61685"/>
          <a:ext cx="440569" cy="34894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US" sz="1100"/>
            <a:t>🔴</a:t>
          </a:r>
        </a:p>
      </xdr:txBody>
    </xdr:sp>
    <xdr:clientData/>
  </xdr:twoCellAnchor>
  <xdr:twoCellAnchor>
    <xdr:from>
      <xdr:col>31</xdr:col>
      <xdr:colOff>181429</xdr:colOff>
      <xdr:row>0</xdr:row>
      <xdr:rowOff>127001</xdr:rowOff>
    </xdr:from>
    <xdr:to>
      <xdr:col>34</xdr:col>
      <xdr:colOff>127000</xdr:colOff>
      <xdr:row>2</xdr:row>
      <xdr:rowOff>24191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76B351A2-257E-4E6B-A41F-BBAFA99B2FDA}"/>
            </a:ext>
          </a:extLst>
        </xdr:cNvPr>
        <xdr:cNvSpPr/>
      </xdr:nvSpPr>
      <xdr:spPr>
        <a:xfrm>
          <a:off x="12608379" y="127001"/>
          <a:ext cx="764721" cy="26549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PRESENT</a:t>
          </a:r>
        </a:p>
      </xdr:txBody>
    </xdr:sp>
    <xdr:clientData/>
  </xdr:twoCellAnchor>
  <xdr:twoCellAnchor>
    <xdr:from>
      <xdr:col>40</xdr:col>
      <xdr:colOff>96764</xdr:colOff>
      <xdr:row>0</xdr:row>
      <xdr:rowOff>60477</xdr:rowOff>
    </xdr:from>
    <xdr:to>
      <xdr:col>42</xdr:col>
      <xdr:colOff>42334</xdr:colOff>
      <xdr:row>2</xdr:row>
      <xdr:rowOff>60476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43D55907-0CA1-4988-8CB8-72CC224838C3}"/>
            </a:ext>
          </a:extLst>
        </xdr:cNvPr>
        <xdr:cNvSpPr/>
      </xdr:nvSpPr>
      <xdr:spPr>
        <a:xfrm>
          <a:off x="14924014" y="60477"/>
          <a:ext cx="910770" cy="36829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LEAVE</a:t>
          </a:r>
        </a:p>
      </xdr:txBody>
    </xdr:sp>
    <xdr:clientData/>
  </xdr:twoCellAnchor>
  <xdr:twoCellAnchor>
    <xdr:from>
      <xdr:col>39</xdr:col>
      <xdr:colOff>99180</xdr:colOff>
      <xdr:row>0</xdr:row>
      <xdr:rowOff>50801</xdr:rowOff>
    </xdr:from>
    <xdr:to>
      <xdr:col>40</xdr:col>
      <xdr:colOff>302381</xdr:colOff>
      <xdr:row>2</xdr:row>
      <xdr:rowOff>60477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BA0A1114-23E4-41A3-9533-D4A3081E5FF7}"/>
            </a:ext>
          </a:extLst>
        </xdr:cNvPr>
        <xdr:cNvSpPr/>
      </xdr:nvSpPr>
      <xdr:spPr>
        <a:xfrm>
          <a:off x="14634330" y="50801"/>
          <a:ext cx="495301" cy="377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39</xdr:col>
      <xdr:colOff>247954</xdr:colOff>
      <xdr:row>0</xdr:row>
      <xdr:rowOff>60477</xdr:rowOff>
    </xdr:from>
    <xdr:to>
      <xdr:col>41</xdr:col>
      <xdr:colOff>514048</xdr:colOff>
      <xdr:row>2</xdr:row>
      <xdr:rowOff>60476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9DDF978E-4AF3-42F4-8C0A-7F86A08594AD}"/>
            </a:ext>
          </a:extLst>
        </xdr:cNvPr>
        <xdr:cNvSpPr/>
      </xdr:nvSpPr>
      <xdr:spPr>
        <a:xfrm>
          <a:off x="14783104" y="60477"/>
          <a:ext cx="913794" cy="36829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LEAVE</a:t>
          </a:r>
        </a:p>
      </xdr:txBody>
    </xdr:sp>
    <xdr:clientData/>
  </xdr:twoCellAnchor>
  <xdr:twoCellAnchor>
    <xdr:from>
      <xdr:col>38</xdr:col>
      <xdr:colOff>214085</xdr:colOff>
      <xdr:row>0</xdr:row>
      <xdr:rowOff>50801</xdr:rowOff>
    </xdr:from>
    <xdr:to>
      <xdr:col>40</xdr:col>
      <xdr:colOff>163286</xdr:colOff>
      <xdr:row>2</xdr:row>
      <xdr:rowOff>60477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EA3F7E89-A808-4465-8C00-9128343389EB}"/>
            </a:ext>
          </a:extLst>
        </xdr:cNvPr>
        <xdr:cNvSpPr/>
      </xdr:nvSpPr>
      <xdr:spPr>
        <a:xfrm>
          <a:off x="14495235" y="50801"/>
          <a:ext cx="495301" cy="377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557648</xdr:colOff>
      <xdr:row>0</xdr:row>
      <xdr:rowOff>0</xdr:rowOff>
    </xdr:from>
    <xdr:to>
      <xdr:col>42</xdr:col>
      <xdr:colOff>290286</xdr:colOff>
      <xdr:row>2</xdr:row>
      <xdr:rowOff>156883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6ADEAEC-FFB0-4737-8BD7-0DB11014A133}"/>
            </a:ext>
          </a:extLst>
        </xdr:cNvPr>
        <xdr:cNvSpPr/>
      </xdr:nvSpPr>
      <xdr:spPr>
        <a:xfrm>
          <a:off x="1776848" y="0"/>
          <a:ext cx="14305888" cy="5251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KKKI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590550</xdr:colOff>
      <xdr:row>38</xdr:row>
      <xdr:rowOff>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6CC83B8-D1B6-44F5-A9A5-0D5C102586D7}"/>
            </a:ext>
          </a:extLst>
        </xdr:cNvPr>
        <xdr:cNvSpPr/>
      </xdr:nvSpPr>
      <xdr:spPr>
        <a:xfrm>
          <a:off x="0" y="0"/>
          <a:ext cx="1809750" cy="703580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66146</xdr:colOff>
      <xdr:row>6</xdr:row>
      <xdr:rowOff>10583</xdr:rowOff>
    </xdr:from>
    <xdr:to>
      <xdr:col>2</xdr:col>
      <xdr:colOff>551921</xdr:colOff>
      <xdr:row>8</xdr:row>
      <xdr:rowOff>100541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A3E7BD-22D9-4044-B215-05AC304C8FF4}"/>
            </a:ext>
          </a:extLst>
        </xdr:cNvPr>
        <xdr:cNvSpPr/>
      </xdr:nvSpPr>
      <xdr:spPr>
        <a:xfrm>
          <a:off x="66146" y="1147233"/>
          <a:ext cx="1704975" cy="44555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February</a:t>
          </a:r>
          <a:endParaRPr lang="en-US" sz="1100"/>
        </a:p>
      </xdr:txBody>
    </xdr:sp>
    <xdr:clientData/>
  </xdr:twoCellAnchor>
  <xdr:twoCellAnchor>
    <xdr:from>
      <xdr:col>0</xdr:col>
      <xdr:colOff>68263</xdr:colOff>
      <xdr:row>8</xdr:row>
      <xdr:rowOff>185207</xdr:rowOff>
    </xdr:from>
    <xdr:to>
      <xdr:col>2</xdr:col>
      <xdr:colOff>554038</xdr:colOff>
      <xdr:row>11</xdr:row>
      <xdr:rowOff>95249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D2854F-FE1B-4922-84DD-9BE0E9FE9FA1}"/>
            </a:ext>
          </a:extLst>
        </xdr:cNvPr>
        <xdr:cNvSpPr/>
      </xdr:nvSpPr>
      <xdr:spPr>
        <a:xfrm>
          <a:off x="68263" y="1677457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March</a:t>
          </a:r>
          <a:endParaRPr lang="en-US" sz="1100"/>
        </a:p>
      </xdr:txBody>
    </xdr:sp>
    <xdr:clientData/>
  </xdr:twoCellAnchor>
  <xdr:twoCellAnchor>
    <xdr:from>
      <xdr:col>0</xdr:col>
      <xdr:colOff>68263</xdr:colOff>
      <xdr:row>11</xdr:row>
      <xdr:rowOff>147636</xdr:rowOff>
    </xdr:from>
    <xdr:to>
      <xdr:col>2</xdr:col>
      <xdr:colOff>554038</xdr:colOff>
      <xdr:row>14</xdr:row>
      <xdr:rowOff>57678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AB3131E-FEFB-431F-8C6C-2AA3133AE8A6}"/>
            </a:ext>
          </a:extLst>
        </xdr:cNvPr>
        <xdr:cNvSpPr/>
      </xdr:nvSpPr>
      <xdr:spPr>
        <a:xfrm>
          <a:off x="68263" y="2192336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April</a:t>
          </a:r>
          <a:endParaRPr lang="en-US" sz="1100"/>
        </a:p>
      </xdr:txBody>
    </xdr:sp>
    <xdr:clientData/>
  </xdr:twoCellAnchor>
  <xdr:twoCellAnchor>
    <xdr:from>
      <xdr:col>0</xdr:col>
      <xdr:colOff>79375</xdr:colOff>
      <xdr:row>14</xdr:row>
      <xdr:rowOff>129116</xdr:rowOff>
    </xdr:from>
    <xdr:to>
      <xdr:col>2</xdr:col>
      <xdr:colOff>565150</xdr:colOff>
      <xdr:row>17</xdr:row>
      <xdr:rowOff>39158</xdr:rowOff>
    </xdr:to>
    <xdr:sp macro="" textlink="">
      <xdr:nvSpPr>
        <xdr:cNvPr id="8" name="Rectangle: Rounded Corner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E42A7AC-CF2D-4913-9A7C-E6B80F771203}"/>
            </a:ext>
          </a:extLst>
        </xdr:cNvPr>
        <xdr:cNvSpPr/>
      </xdr:nvSpPr>
      <xdr:spPr>
        <a:xfrm>
          <a:off x="79375" y="2726266"/>
          <a:ext cx="1704975" cy="4751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May</a:t>
          </a:r>
          <a:endParaRPr lang="en-US" sz="1100"/>
        </a:p>
      </xdr:txBody>
    </xdr:sp>
    <xdr:clientData/>
  </xdr:twoCellAnchor>
  <xdr:twoCellAnchor>
    <xdr:from>
      <xdr:col>0</xdr:col>
      <xdr:colOff>71968</xdr:colOff>
      <xdr:row>17</xdr:row>
      <xdr:rowOff>125411</xdr:rowOff>
    </xdr:from>
    <xdr:to>
      <xdr:col>2</xdr:col>
      <xdr:colOff>557743</xdr:colOff>
      <xdr:row>20</xdr:row>
      <xdr:rowOff>35453</xdr:rowOff>
    </xdr:to>
    <xdr:sp macro="" textlink="">
      <xdr:nvSpPr>
        <xdr:cNvPr id="9" name="Rectangle: Rounded Corner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EDECD8A-74AA-4D22-842D-5C662B4BFAAF}"/>
            </a:ext>
          </a:extLst>
        </xdr:cNvPr>
        <xdr:cNvSpPr/>
      </xdr:nvSpPr>
      <xdr:spPr>
        <a:xfrm>
          <a:off x="71968" y="3287711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June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20</xdr:row>
      <xdr:rowOff>114299</xdr:rowOff>
    </xdr:from>
    <xdr:to>
      <xdr:col>2</xdr:col>
      <xdr:colOff>551921</xdr:colOff>
      <xdr:row>23</xdr:row>
      <xdr:rowOff>19049</xdr:rowOff>
    </xdr:to>
    <xdr:sp macro="" textlink="">
      <xdr:nvSpPr>
        <xdr:cNvPr id="10" name="Rectangle: Rounded Corner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7534757-A608-4E6A-980B-CDA49FF3E9D1}"/>
            </a:ext>
          </a:extLst>
        </xdr:cNvPr>
        <xdr:cNvSpPr/>
      </xdr:nvSpPr>
      <xdr:spPr>
        <a:xfrm>
          <a:off x="66146" y="3829049"/>
          <a:ext cx="1704975" cy="45720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July</a:t>
          </a:r>
          <a:endParaRPr lang="en-US" sz="1100"/>
        </a:p>
      </xdr:txBody>
    </xdr:sp>
    <xdr:clientData/>
  </xdr:twoCellAnchor>
  <xdr:twoCellAnchor>
    <xdr:from>
      <xdr:col>0</xdr:col>
      <xdr:colOff>71967</xdr:colOff>
      <xdr:row>23</xdr:row>
      <xdr:rowOff>86255</xdr:rowOff>
    </xdr:from>
    <xdr:to>
      <xdr:col>2</xdr:col>
      <xdr:colOff>557742</xdr:colOff>
      <xdr:row>25</xdr:row>
      <xdr:rowOff>176214</xdr:rowOff>
    </xdr:to>
    <xdr:sp macro="" textlink="">
      <xdr:nvSpPr>
        <xdr:cNvPr id="11" name="Rectangle: Rounded Corner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22EE0A4-EE96-4042-AE27-ABDA791756CA}"/>
            </a:ext>
          </a:extLst>
        </xdr:cNvPr>
        <xdr:cNvSpPr/>
      </xdr:nvSpPr>
      <xdr:spPr>
        <a:xfrm>
          <a:off x="71967" y="4353455"/>
          <a:ext cx="1704975" cy="45825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August</a:t>
          </a:r>
          <a:endParaRPr lang="en-US" sz="1100"/>
        </a:p>
      </xdr:txBody>
    </xdr:sp>
    <xdr:clientData/>
  </xdr:twoCellAnchor>
  <xdr:twoCellAnchor>
    <xdr:from>
      <xdr:col>1</xdr:col>
      <xdr:colOff>135996</xdr:colOff>
      <xdr:row>26</xdr:row>
      <xdr:rowOff>65238</xdr:rowOff>
    </xdr:from>
    <xdr:to>
      <xdr:col>4</xdr:col>
      <xdr:colOff>12171</xdr:colOff>
      <xdr:row>28</xdr:row>
      <xdr:rowOff>152929</xdr:rowOff>
    </xdr:to>
    <xdr:sp macro="" textlink="">
      <xdr:nvSpPr>
        <xdr:cNvPr id="12" name="Rectangle: Rounded Corner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9AFAF83-1AC8-427F-9C2B-FBF59422372F}"/>
            </a:ext>
          </a:extLst>
        </xdr:cNvPr>
        <xdr:cNvSpPr/>
      </xdr:nvSpPr>
      <xdr:spPr>
        <a:xfrm>
          <a:off x="745596" y="4884888"/>
          <a:ext cx="1704975" cy="462341"/>
        </a:xfrm>
        <a:prstGeom prst="roundRect">
          <a:avLst/>
        </a:prstGeom>
        <a:solidFill>
          <a:schemeClr val="bg2"/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Steptember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29</xdr:row>
      <xdr:rowOff>41880</xdr:rowOff>
    </xdr:from>
    <xdr:to>
      <xdr:col>2</xdr:col>
      <xdr:colOff>551921</xdr:colOff>
      <xdr:row>31</xdr:row>
      <xdr:rowOff>129571</xdr:rowOff>
    </xdr:to>
    <xdr:sp macro="" textlink="">
      <xdr:nvSpPr>
        <xdr:cNvPr id="13" name="Rectangle: Rounded Corner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E3D156F-F91B-4658-8B42-DD18F2D91752}"/>
            </a:ext>
          </a:extLst>
        </xdr:cNvPr>
        <xdr:cNvSpPr/>
      </xdr:nvSpPr>
      <xdr:spPr>
        <a:xfrm>
          <a:off x="66146" y="5420330"/>
          <a:ext cx="1704975" cy="45599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October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32</xdr:row>
      <xdr:rowOff>8165</xdr:rowOff>
    </xdr:from>
    <xdr:to>
      <xdr:col>2</xdr:col>
      <xdr:colOff>551921</xdr:colOff>
      <xdr:row>34</xdr:row>
      <xdr:rowOff>103415</xdr:rowOff>
    </xdr:to>
    <xdr:sp macro="" textlink="">
      <xdr:nvSpPr>
        <xdr:cNvPr id="14" name="Rectangle: Rounded Corners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80BE080-6E7C-4A2D-BA28-790443FC443C}"/>
            </a:ext>
          </a:extLst>
        </xdr:cNvPr>
        <xdr:cNvSpPr/>
      </xdr:nvSpPr>
      <xdr:spPr>
        <a:xfrm>
          <a:off x="66146" y="5939065"/>
          <a:ext cx="1704975" cy="46355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November</a:t>
          </a:r>
          <a:endParaRPr lang="en-US" sz="1100"/>
        </a:p>
      </xdr:txBody>
    </xdr:sp>
    <xdr:clientData/>
  </xdr:twoCellAnchor>
  <xdr:twoCellAnchor>
    <xdr:from>
      <xdr:col>0</xdr:col>
      <xdr:colOff>79376</xdr:colOff>
      <xdr:row>34</xdr:row>
      <xdr:rowOff>183773</xdr:rowOff>
    </xdr:from>
    <xdr:to>
      <xdr:col>2</xdr:col>
      <xdr:colOff>565151</xdr:colOff>
      <xdr:row>37</xdr:row>
      <xdr:rowOff>93814</xdr:rowOff>
    </xdr:to>
    <xdr:sp macro="" textlink="">
      <xdr:nvSpPr>
        <xdr:cNvPr id="15" name="Rectangle: Rounded Corners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9F64829-951E-4D61-B7B2-18DEB6AF7F7E}"/>
            </a:ext>
          </a:extLst>
        </xdr:cNvPr>
        <xdr:cNvSpPr/>
      </xdr:nvSpPr>
      <xdr:spPr>
        <a:xfrm>
          <a:off x="79376" y="6482973"/>
          <a:ext cx="1704975" cy="46249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December</a:t>
          </a:r>
          <a:endParaRPr lang="en-US" sz="1100"/>
        </a:p>
      </xdr:txBody>
    </xdr:sp>
    <xdr:clientData/>
  </xdr:twoCellAnchor>
  <xdr:twoCellAnchor>
    <xdr:from>
      <xdr:col>42</xdr:col>
      <xdr:colOff>597648</xdr:colOff>
      <xdr:row>0</xdr:row>
      <xdr:rowOff>0</xdr:rowOff>
    </xdr:from>
    <xdr:to>
      <xdr:col>57</xdr:col>
      <xdr:colOff>14942</xdr:colOff>
      <xdr:row>2</xdr:row>
      <xdr:rowOff>171824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3DB72B7-1683-435E-990E-E817269E222C}"/>
            </a:ext>
          </a:extLst>
        </xdr:cNvPr>
        <xdr:cNvSpPr/>
      </xdr:nvSpPr>
      <xdr:spPr>
        <a:xfrm>
          <a:off x="16390098" y="0"/>
          <a:ext cx="9710644" cy="5401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chemeClr val="bg1"/>
              </a:solidFill>
            </a:rPr>
            <a:t>Monthly</a:t>
          </a:r>
          <a:r>
            <a:rPr lang="en-US" sz="2800" b="1" baseline="0">
              <a:solidFill>
                <a:schemeClr val="bg1"/>
              </a:solidFill>
            </a:rPr>
            <a:t> Report</a:t>
          </a:r>
          <a:endParaRPr lang="en-US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528632</xdr:colOff>
      <xdr:row>0</xdr:row>
      <xdr:rowOff>145304</xdr:rowOff>
    </xdr:from>
    <xdr:to>
      <xdr:col>4</xdr:col>
      <xdr:colOff>506218</xdr:colOff>
      <xdr:row>2</xdr:row>
      <xdr:rowOff>69134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BF3B449-119C-461F-B6F5-7AF822F0323C}"/>
            </a:ext>
          </a:extLst>
        </xdr:cNvPr>
        <xdr:cNvSpPr/>
      </xdr:nvSpPr>
      <xdr:spPr>
        <a:xfrm>
          <a:off x="1747832" y="145304"/>
          <a:ext cx="1196786" cy="29213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FROM</a:t>
          </a:r>
        </a:p>
      </xdr:txBody>
    </xdr:sp>
    <xdr:clientData/>
  </xdr:twoCellAnchor>
  <xdr:twoCellAnchor>
    <xdr:from>
      <xdr:col>7</xdr:col>
      <xdr:colOff>83384</xdr:colOff>
      <xdr:row>0</xdr:row>
      <xdr:rowOff>140822</xdr:rowOff>
    </xdr:from>
    <xdr:to>
      <xdr:col>8</xdr:col>
      <xdr:colOff>471853</xdr:colOff>
      <xdr:row>2</xdr:row>
      <xdr:rowOff>64652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5B6BB12-5F78-42D1-B58F-FD1AC09F735E}"/>
            </a:ext>
          </a:extLst>
        </xdr:cNvPr>
        <xdr:cNvSpPr/>
      </xdr:nvSpPr>
      <xdr:spPr>
        <a:xfrm>
          <a:off x="4604584" y="140822"/>
          <a:ext cx="1207619" cy="29213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TO</a:t>
          </a:r>
        </a:p>
        <a:p>
          <a:pPr marL="0" indent="0" algn="ctr"/>
          <a:endParaRPr lang="en-US" sz="16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494264</xdr:colOff>
      <xdr:row>0</xdr:row>
      <xdr:rowOff>148292</xdr:rowOff>
    </xdr:from>
    <xdr:to>
      <xdr:col>6</xdr:col>
      <xdr:colOff>471851</xdr:colOff>
      <xdr:row>2</xdr:row>
      <xdr:rowOff>72122</xdr:rowOff>
    </xdr:to>
    <xdr:sp macro="" textlink="$G$5">
      <xdr:nvSpPr>
        <xdr:cNvPr id="19" name="Rectangle 18">
          <a:extLst>
            <a:ext uri="{FF2B5EF4-FFF2-40B4-BE49-F238E27FC236}">
              <a16:creationId xmlns:a16="http://schemas.microsoft.com/office/drawing/2014/main" id="{6BB81838-C715-4A21-89DF-75A1D2DEEC1C}"/>
            </a:ext>
          </a:extLst>
        </xdr:cNvPr>
        <xdr:cNvSpPr/>
      </xdr:nvSpPr>
      <xdr:spPr>
        <a:xfrm>
          <a:off x="2932664" y="148292"/>
          <a:ext cx="1196787" cy="29213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1BAFFE97-76C2-4FA9-8172-754635694528}" type="TxLink">
            <a:rPr lang="en-US" sz="1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pPr algn="ctr"/>
            <a:t>01-Sep-2025</a:t>
          </a:fld>
          <a:endParaRPr lang="en-US" sz="1400"/>
        </a:p>
      </xdr:txBody>
    </xdr:sp>
    <xdr:clientData/>
  </xdr:twoCellAnchor>
  <xdr:twoCellAnchor>
    <xdr:from>
      <xdr:col>8</xdr:col>
      <xdr:colOff>490329</xdr:colOff>
      <xdr:row>0</xdr:row>
      <xdr:rowOff>134874</xdr:rowOff>
    </xdr:from>
    <xdr:to>
      <xdr:col>11</xdr:col>
      <xdr:colOff>19680</xdr:colOff>
      <xdr:row>2</xdr:row>
      <xdr:rowOff>58704</xdr:rowOff>
    </xdr:to>
    <xdr:sp macro="" textlink="$M$5">
      <xdr:nvSpPr>
        <xdr:cNvPr id="20" name="Rectangle 19">
          <a:extLst>
            <a:ext uri="{FF2B5EF4-FFF2-40B4-BE49-F238E27FC236}">
              <a16:creationId xmlns:a16="http://schemas.microsoft.com/office/drawing/2014/main" id="{54925D55-8D25-41C6-A5A0-F7F5B31E7025}"/>
            </a:ext>
          </a:extLst>
        </xdr:cNvPr>
        <xdr:cNvSpPr/>
      </xdr:nvSpPr>
      <xdr:spPr>
        <a:xfrm>
          <a:off x="5830679" y="134874"/>
          <a:ext cx="1212101" cy="29213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F18C7413-8E99-44FA-A55E-E2450FCA2E79}" type="TxLink">
            <a:rPr lang="en-US" sz="1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pPr algn="ctr"/>
            <a:t>30-Sep-2025</a:t>
          </a:fld>
          <a:endParaRPr lang="en-US" sz="1400"/>
        </a:p>
      </xdr:txBody>
    </xdr:sp>
    <xdr:clientData/>
  </xdr:twoCellAnchor>
  <xdr:twoCellAnchor>
    <xdr:from>
      <xdr:col>12</xdr:col>
      <xdr:colOff>205619</xdr:colOff>
      <xdr:row>0</xdr:row>
      <xdr:rowOff>87923</xdr:rowOff>
    </xdr:from>
    <xdr:to>
      <xdr:col>24</xdr:col>
      <xdr:colOff>189802</xdr:colOff>
      <xdr:row>2</xdr:row>
      <xdr:rowOff>113489</xdr:rowOff>
    </xdr:to>
    <xdr:sp macro="" textlink="$M$5">
      <xdr:nvSpPr>
        <xdr:cNvPr id="21" name="Rectangle 20">
          <a:extLst>
            <a:ext uri="{FF2B5EF4-FFF2-40B4-BE49-F238E27FC236}">
              <a16:creationId xmlns:a16="http://schemas.microsoft.com/office/drawing/2014/main" id="{6D7A9CB2-83F3-406E-A52F-802AFFBF4D76}"/>
            </a:ext>
          </a:extLst>
        </xdr:cNvPr>
        <xdr:cNvSpPr/>
      </xdr:nvSpPr>
      <xdr:spPr>
        <a:xfrm>
          <a:off x="7339844" y="87923"/>
          <a:ext cx="3098858" cy="406566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Dashboard</a:t>
          </a:r>
          <a:r>
            <a:rPr lang="en-US" sz="2400" baseline="0"/>
            <a:t> For Month     f </a:t>
          </a:r>
          <a:endParaRPr lang="en-US" sz="2400"/>
        </a:p>
      </xdr:txBody>
    </xdr:sp>
    <xdr:clientData/>
  </xdr:twoCellAnchor>
  <xdr:twoCellAnchor>
    <xdr:from>
      <xdr:col>0</xdr:col>
      <xdr:colOff>69472</xdr:colOff>
      <xdr:row>3</xdr:row>
      <xdr:rowOff>40216</xdr:rowOff>
    </xdr:from>
    <xdr:to>
      <xdr:col>2</xdr:col>
      <xdr:colOff>554038</xdr:colOff>
      <xdr:row>5</xdr:row>
      <xdr:rowOff>105984</xdr:rowOff>
    </xdr:to>
    <xdr:sp macro="" textlink="">
      <xdr:nvSpPr>
        <xdr:cNvPr id="23" name="Rectangle: Rounded Corner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80A4141-720D-4B7C-87A5-ADC0E585EF2D}"/>
            </a:ext>
          </a:extLst>
        </xdr:cNvPr>
        <xdr:cNvSpPr/>
      </xdr:nvSpPr>
      <xdr:spPr>
        <a:xfrm>
          <a:off x="69472" y="592666"/>
          <a:ext cx="1703766" cy="44041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January</a:t>
          </a:r>
          <a:endParaRPr lang="en-US" sz="1100"/>
        </a:p>
      </xdr:txBody>
    </xdr:sp>
    <xdr:clientData/>
  </xdr:twoCellAnchor>
  <xdr:twoCellAnchor editAs="oneCell">
    <xdr:from>
      <xdr:col>22</xdr:col>
      <xdr:colOff>197863</xdr:colOff>
      <xdr:row>1</xdr:row>
      <xdr:rowOff>73972</xdr:rowOff>
    </xdr:from>
    <xdr:to>
      <xdr:col>23</xdr:col>
      <xdr:colOff>159507</xdr:colOff>
      <xdr:row>2</xdr:row>
      <xdr:rowOff>104209</xdr:rowOff>
    </xdr:to>
    <xdr:pic>
      <xdr:nvPicPr>
        <xdr:cNvPr id="24" name="Graphic 23" descr="Magnifying glass with solid fill">
          <a:extLst>
            <a:ext uri="{FF2B5EF4-FFF2-40B4-BE49-F238E27FC236}">
              <a16:creationId xmlns:a16="http://schemas.microsoft.com/office/drawing/2014/main" id="{8D1E4C0E-18AF-4995-8690-8E79A3812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rot="5400000">
          <a:off x="10302678" y="254486"/>
          <a:ext cx="214053" cy="220657"/>
        </a:xfrm>
        <a:prstGeom prst="rect">
          <a:avLst/>
        </a:prstGeom>
      </xdr:spPr>
    </xdr:pic>
    <xdr:clientData/>
  </xdr:twoCellAnchor>
  <xdr:twoCellAnchor>
    <xdr:from>
      <xdr:col>30</xdr:col>
      <xdr:colOff>37191</xdr:colOff>
      <xdr:row>0</xdr:row>
      <xdr:rowOff>76050</xdr:rowOff>
    </xdr:from>
    <xdr:to>
      <xdr:col>32</xdr:col>
      <xdr:colOff>103716</xdr:colOff>
      <xdr:row>2</xdr:row>
      <xdr:rowOff>63954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145021E6-544E-4DD6-88B7-F89D8CEC8853}"/>
            </a:ext>
          </a:extLst>
        </xdr:cNvPr>
        <xdr:cNvSpPr/>
      </xdr:nvSpPr>
      <xdr:spPr>
        <a:xfrm>
          <a:off x="11857716" y="76050"/>
          <a:ext cx="485625" cy="3689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🟢</a:t>
          </a:r>
        </a:p>
      </xdr:txBody>
    </xdr:sp>
    <xdr:clientData/>
  </xdr:twoCellAnchor>
  <xdr:twoCellAnchor>
    <xdr:from>
      <xdr:col>35</xdr:col>
      <xdr:colOff>72574</xdr:colOff>
      <xdr:row>0</xdr:row>
      <xdr:rowOff>84668</xdr:rowOff>
    </xdr:from>
    <xdr:to>
      <xdr:col>38</xdr:col>
      <xdr:colOff>223764</xdr:colOff>
      <xdr:row>2</xdr:row>
      <xdr:rowOff>48382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B510E74-9207-46B2-9C9B-DFA452C9C294}"/>
            </a:ext>
          </a:extLst>
        </xdr:cNvPr>
        <xdr:cNvSpPr/>
      </xdr:nvSpPr>
      <xdr:spPr>
        <a:xfrm>
          <a:off x="13579024" y="84668"/>
          <a:ext cx="925890" cy="33201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ABSENT</a:t>
          </a:r>
        </a:p>
      </xdr:txBody>
    </xdr:sp>
    <xdr:clientData/>
  </xdr:twoCellAnchor>
  <xdr:twoCellAnchor>
    <xdr:from>
      <xdr:col>34</xdr:col>
      <xdr:colOff>85877</xdr:colOff>
      <xdr:row>0</xdr:row>
      <xdr:rowOff>61685</xdr:rowOff>
    </xdr:from>
    <xdr:to>
      <xdr:col>35</xdr:col>
      <xdr:colOff>266096</xdr:colOff>
      <xdr:row>2</xdr:row>
      <xdr:rowOff>42333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4F0648A4-0B62-45FC-B1CC-F32621995600}"/>
            </a:ext>
          </a:extLst>
        </xdr:cNvPr>
        <xdr:cNvSpPr/>
      </xdr:nvSpPr>
      <xdr:spPr>
        <a:xfrm>
          <a:off x="13331977" y="61685"/>
          <a:ext cx="440569" cy="34894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US" sz="1100"/>
            <a:t>🔴</a:t>
          </a:r>
        </a:p>
      </xdr:txBody>
    </xdr:sp>
    <xdr:clientData/>
  </xdr:twoCellAnchor>
  <xdr:twoCellAnchor>
    <xdr:from>
      <xdr:col>31</xdr:col>
      <xdr:colOff>181429</xdr:colOff>
      <xdr:row>0</xdr:row>
      <xdr:rowOff>127001</xdr:rowOff>
    </xdr:from>
    <xdr:to>
      <xdr:col>34</xdr:col>
      <xdr:colOff>127000</xdr:colOff>
      <xdr:row>2</xdr:row>
      <xdr:rowOff>24191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A77BA70-371E-4B09-89E0-D8D0487A6858}"/>
            </a:ext>
          </a:extLst>
        </xdr:cNvPr>
        <xdr:cNvSpPr/>
      </xdr:nvSpPr>
      <xdr:spPr>
        <a:xfrm>
          <a:off x="12608379" y="127001"/>
          <a:ext cx="764721" cy="26549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PRESENT</a:t>
          </a:r>
        </a:p>
      </xdr:txBody>
    </xdr:sp>
    <xdr:clientData/>
  </xdr:twoCellAnchor>
  <xdr:twoCellAnchor>
    <xdr:from>
      <xdr:col>40</xdr:col>
      <xdr:colOff>96764</xdr:colOff>
      <xdr:row>0</xdr:row>
      <xdr:rowOff>60477</xdr:rowOff>
    </xdr:from>
    <xdr:to>
      <xdr:col>42</xdr:col>
      <xdr:colOff>42334</xdr:colOff>
      <xdr:row>2</xdr:row>
      <xdr:rowOff>60476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B8C76CFA-851A-4C46-9C74-0B3DADAB7923}"/>
            </a:ext>
          </a:extLst>
        </xdr:cNvPr>
        <xdr:cNvSpPr/>
      </xdr:nvSpPr>
      <xdr:spPr>
        <a:xfrm>
          <a:off x="14924014" y="60477"/>
          <a:ext cx="910770" cy="36829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LEAVE</a:t>
          </a:r>
        </a:p>
      </xdr:txBody>
    </xdr:sp>
    <xdr:clientData/>
  </xdr:twoCellAnchor>
  <xdr:twoCellAnchor>
    <xdr:from>
      <xdr:col>39</xdr:col>
      <xdr:colOff>99180</xdr:colOff>
      <xdr:row>0</xdr:row>
      <xdr:rowOff>50801</xdr:rowOff>
    </xdr:from>
    <xdr:to>
      <xdr:col>40</xdr:col>
      <xdr:colOff>302381</xdr:colOff>
      <xdr:row>2</xdr:row>
      <xdr:rowOff>60477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74D2709-C4F0-4BF0-9FF1-138B89C2F556}"/>
            </a:ext>
          </a:extLst>
        </xdr:cNvPr>
        <xdr:cNvSpPr/>
      </xdr:nvSpPr>
      <xdr:spPr>
        <a:xfrm>
          <a:off x="14634330" y="50801"/>
          <a:ext cx="495301" cy="377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39</xdr:col>
      <xdr:colOff>247954</xdr:colOff>
      <xdr:row>0</xdr:row>
      <xdr:rowOff>60477</xdr:rowOff>
    </xdr:from>
    <xdr:to>
      <xdr:col>41</xdr:col>
      <xdr:colOff>514048</xdr:colOff>
      <xdr:row>2</xdr:row>
      <xdr:rowOff>60476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FD92952-EB21-4C43-B03F-0433488FF085}"/>
            </a:ext>
          </a:extLst>
        </xdr:cNvPr>
        <xdr:cNvSpPr/>
      </xdr:nvSpPr>
      <xdr:spPr>
        <a:xfrm>
          <a:off x="14783104" y="60477"/>
          <a:ext cx="913794" cy="36829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LEAVE</a:t>
          </a:r>
        </a:p>
      </xdr:txBody>
    </xdr:sp>
    <xdr:clientData/>
  </xdr:twoCellAnchor>
  <xdr:twoCellAnchor>
    <xdr:from>
      <xdr:col>38</xdr:col>
      <xdr:colOff>214085</xdr:colOff>
      <xdr:row>0</xdr:row>
      <xdr:rowOff>50801</xdr:rowOff>
    </xdr:from>
    <xdr:to>
      <xdr:col>40</xdr:col>
      <xdr:colOff>163286</xdr:colOff>
      <xdr:row>2</xdr:row>
      <xdr:rowOff>60477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7C0A3CA-4680-4000-9B00-0D3D9A2ED01F}"/>
            </a:ext>
          </a:extLst>
        </xdr:cNvPr>
        <xdr:cNvSpPr/>
      </xdr:nvSpPr>
      <xdr:spPr>
        <a:xfrm>
          <a:off x="14495235" y="50801"/>
          <a:ext cx="495301" cy="377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24</xdr:col>
      <xdr:colOff>63351</xdr:colOff>
      <xdr:row>0</xdr:row>
      <xdr:rowOff>86082</xdr:rowOff>
    </xdr:from>
    <xdr:to>
      <xdr:col>30</xdr:col>
      <xdr:colOff>1762</xdr:colOff>
      <xdr:row>2</xdr:row>
      <xdr:rowOff>111147</xdr:rowOff>
    </xdr:to>
    <xdr:sp macro="" textlink="$I$4">
      <xdr:nvSpPr>
        <xdr:cNvPr id="22" name="Rectangle 21">
          <a:extLst>
            <a:ext uri="{FF2B5EF4-FFF2-40B4-BE49-F238E27FC236}">
              <a16:creationId xmlns:a16="http://schemas.microsoft.com/office/drawing/2014/main" id="{D630BF8F-E5EB-4486-AAC3-8D76EEC99923}"/>
            </a:ext>
          </a:extLst>
        </xdr:cNvPr>
        <xdr:cNvSpPr/>
      </xdr:nvSpPr>
      <xdr:spPr>
        <a:xfrm flipH="1">
          <a:off x="10706883" y="86082"/>
          <a:ext cx="1581255" cy="397909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7CCC7E4-D351-43A5-B697-CE8115FFBC59}" type="TxLink">
            <a:rPr lang="en-US" sz="2400" b="0" i="0" u="none" strike="noStrike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Narrow"/>
            </a:rPr>
            <a:pPr algn="l"/>
            <a:t>September</a:t>
          </a:fld>
          <a:endParaRPr lang="en-US" sz="2400" b="0" cap="none" spc="0">
            <a:ln w="0"/>
            <a:solidFill>
              <a:schemeClr val="accent2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557648</xdr:colOff>
      <xdr:row>0</xdr:row>
      <xdr:rowOff>0</xdr:rowOff>
    </xdr:from>
    <xdr:to>
      <xdr:col>42</xdr:col>
      <xdr:colOff>290286</xdr:colOff>
      <xdr:row>2</xdr:row>
      <xdr:rowOff>156883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B768592-7CD0-4C0A-B202-51D1DE3EB412}"/>
            </a:ext>
          </a:extLst>
        </xdr:cNvPr>
        <xdr:cNvSpPr/>
      </xdr:nvSpPr>
      <xdr:spPr>
        <a:xfrm>
          <a:off x="1776848" y="0"/>
          <a:ext cx="14305888" cy="5251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KKKI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590550</xdr:colOff>
      <xdr:row>38</xdr:row>
      <xdr:rowOff>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657C550-077B-441B-AD8A-21DE4674104B}"/>
            </a:ext>
          </a:extLst>
        </xdr:cNvPr>
        <xdr:cNvSpPr/>
      </xdr:nvSpPr>
      <xdr:spPr>
        <a:xfrm>
          <a:off x="0" y="0"/>
          <a:ext cx="1809750" cy="703580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66146</xdr:colOff>
      <xdr:row>6</xdr:row>
      <xdr:rowOff>10583</xdr:rowOff>
    </xdr:from>
    <xdr:to>
      <xdr:col>2</xdr:col>
      <xdr:colOff>551921</xdr:colOff>
      <xdr:row>8</xdr:row>
      <xdr:rowOff>100541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DEC3D7-8CD2-402E-8525-CF2C99E21622}"/>
            </a:ext>
          </a:extLst>
        </xdr:cNvPr>
        <xdr:cNvSpPr/>
      </xdr:nvSpPr>
      <xdr:spPr>
        <a:xfrm>
          <a:off x="66146" y="1147233"/>
          <a:ext cx="1704975" cy="44555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February</a:t>
          </a:r>
          <a:endParaRPr lang="en-US" sz="1100"/>
        </a:p>
      </xdr:txBody>
    </xdr:sp>
    <xdr:clientData/>
  </xdr:twoCellAnchor>
  <xdr:twoCellAnchor>
    <xdr:from>
      <xdr:col>0</xdr:col>
      <xdr:colOff>68263</xdr:colOff>
      <xdr:row>8</xdr:row>
      <xdr:rowOff>185207</xdr:rowOff>
    </xdr:from>
    <xdr:to>
      <xdr:col>2</xdr:col>
      <xdr:colOff>554038</xdr:colOff>
      <xdr:row>11</xdr:row>
      <xdr:rowOff>95249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C02E92-49A7-43C0-9B32-3A8E8513DD0A}"/>
            </a:ext>
          </a:extLst>
        </xdr:cNvPr>
        <xdr:cNvSpPr/>
      </xdr:nvSpPr>
      <xdr:spPr>
        <a:xfrm>
          <a:off x="68263" y="1677457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March</a:t>
          </a:r>
          <a:endParaRPr lang="en-US" sz="1100"/>
        </a:p>
      </xdr:txBody>
    </xdr:sp>
    <xdr:clientData/>
  </xdr:twoCellAnchor>
  <xdr:twoCellAnchor>
    <xdr:from>
      <xdr:col>0</xdr:col>
      <xdr:colOff>68263</xdr:colOff>
      <xdr:row>11</xdr:row>
      <xdr:rowOff>147636</xdr:rowOff>
    </xdr:from>
    <xdr:to>
      <xdr:col>2</xdr:col>
      <xdr:colOff>554038</xdr:colOff>
      <xdr:row>14</xdr:row>
      <xdr:rowOff>57678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F82AB29-CF67-4DED-BE69-6F9A7F244DA8}"/>
            </a:ext>
          </a:extLst>
        </xdr:cNvPr>
        <xdr:cNvSpPr/>
      </xdr:nvSpPr>
      <xdr:spPr>
        <a:xfrm>
          <a:off x="68263" y="2192336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April</a:t>
          </a:r>
          <a:endParaRPr lang="en-US" sz="1100"/>
        </a:p>
      </xdr:txBody>
    </xdr:sp>
    <xdr:clientData/>
  </xdr:twoCellAnchor>
  <xdr:twoCellAnchor>
    <xdr:from>
      <xdr:col>0</xdr:col>
      <xdr:colOff>79375</xdr:colOff>
      <xdr:row>14</xdr:row>
      <xdr:rowOff>129116</xdr:rowOff>
    </xdr:from>
    <xdr:to>
      <xdr:col>2</xdr:col>
      <xdr:colOff>565150</xdr:colOff>
      <xdr:row>17</xdr:row>
      <xdr:rowOff>39158</xdr:rowOff>
    </xdr:to>
    <xdr:sp macro="" textlink="">
      <xdr:nvSpPr>
        <xdr:cNvPr id="8" name="Rectangle: Rounded Corner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3EAA8D1-8FF1-4237-B430-38B64C99647B}"/>
            </a:ext>
          </a:extLst>
        </xdr:cNvPr>
        <xdr:cNvSpPr/>
      </xdr:nvSpPr>
      <xdr:spPr>
        <a:xfrm>
          <a:off x="79375" y="2726266"/>
          <a:ext cx="1704975" cy="4751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May</a:t>
          </a:r>
          <a:endParaRPr lang="en-US" sz="1100"/>
        </a:p>
      </xdr:txBody>
    </xdr:sp>
    <xdr:clientData/>
  </xdr:twoCellAnchor>
  <xdr:twoCellAnchor>
    <xdr:from>
      <xdr:col>0</xdr:col>
      <xdr:colOff>71968</xdr:colOff>
      <xdr:row>17</xdr:row>
      <xdr:rowOff>125411</xdr:rowOff>
    </xdr:from>
    <xdr:to>
      <xdr:col>2</xdr:col>
      <xdr:colOff>557743</xdr:colOff>
      <xdr:row>20</xdr:row>
      <xdr:rowOff>35453</xdr:rowOff>
    </xdr:to>
    <xdr:sp macro="" textlink="">
      <xdr:nvSpPr>
        <xdr:cNvPr id="9" name="Rectangle: Rounded Corner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7785815-6E6E-41F2-A60A-EC7B8A27AF8D}"/>
            </a:ext>
          </a:extLst>
        </xdr:cNvPr>
        <xdr:cNvSpPr/>
      </xdr:nvSpPr>
      <xdr:spPr>
        <a:xfrm>
          <a:off x="71968" y="3287711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June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20</xdr:row>
      <xdr:rowOff>114299</xdr:rowOff>
    </xdr:from>
    <xdr:to>
      <xdr:col>2</xdr:col>
      <xdr:colOff>551921</xdr:colOff>
      <xdr:row>23</xdr:row>
      <xdr:rowOff>19049</xdr:rowOff>
    </xdr:to>
    <xdr:sp macro="" textlink="">
      <xdr:nvSpPr>
        <xdr:cNvPr id="10" name="Rectangle: Rounded Corner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D4A138C-A243-4A5C-BE6A-42BE148EDEEF}"/>
            </a:ext>
          </a:extLst>
        </xdr:cNvPr>
        <xdr:cNvSpPr/>
      </xdr:nvSpPr>
      <xdr:spPr>
        <a:xfrm>
          <a:off x="66146" y="3829049"/>
          <a:ext cx="1704975" cy="45720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July</a:t>
          </a:r>
          <a:endParaRPr lang="en-US" sz="1100"/>
        </a:p>
      </xdr:txBody>
    </xdr:sp>
    <xdr:clientData/>
  </xdr:twoCellAnchor>
  <xdr:twoCellAnchor>
    <xdr:from>
      <xdr:col>0</xdr:col>
      <xdr:colOff>71967</xdr:colOff>
      <xdr:row>23</xdr:row>
      <xdr:rowOff>86255</xdr:rowOff>
    </xdr:from>
    <xdr:to>
      <xdr:col>2</xdr:col>
      <xdr:colOff>557742</xdr:colOff>
      <xdr:row>25</xdr:row>
      <xdr:rowOff>176214</xdr:rowOff>
    </xdr:to>
    <xdr:sp macro="" textlink="">
      <xdr:nvSpPr>
        <xdr:cNvPr id="11" name="Rectangle: Rounded Corner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432EC57-6D3C-4B35-BA13-D8FC8BC0B341}"/>
            </a:ext>
          </a:extLst>
        </xdr:cNvPr>
        <xdr:cNvSpPr/>
      </xdr:nvSpPr>
      <xdr:spPr>
        <a:xfrm>
          <a:off x="71967" y="4353455"/>
          <a:ext cx="1704975" cy="45825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August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26</xdr:row>
      <xdr:rowOff>58888</xdr:rowOff>
    </xdr:from>
    <xdr:to>
      <xdr:col>2</xdr:col>
      <xdr:colOff>551921</xdr:colOff>
      <xdr:row>28</xdr:row>
      <xdr:rowOff>146579</xdr:rowOff>
    </xdr:to>
    <xdr:sp macro="" textlink="">
      <xdr:nvSpPr>
        <xdr:cNvPr id="12" name="Rectangle: Rounded Corner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F9ECF1F-8B90-4C72-873B-E22264E24B0A}"/>
            </a:ext>
          </a:extLst>
        </xdr:cNvPr>
        <xdr:cNvSpPr/>
      </xdr:nvSpPr>
      <xdr:spPr>
        <a:xfrm>
          <a:off x="66146" y="4878538"/>
          <a:ext cx="1704975" cy="46234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Steptember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29</xdr:row>
      <xdr:rowOff>41880</xdr:rowOff>
    </xdr:from>
    <xdr:to>
      <xdr:col>2</xdr:col>
      <xdr:colOff>551921</xdr:colOff>
      <xdr:row>31</xdr:row>
      <xdr:rowOff>129571</xdr:rowOff>
    </xdr:to>
    <xdr:sp macro="" textlink="">
      <xdr:nvSpPr>
        <xdr:cNvPr id="13" name="Rectangle: Rounded Corner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E7CB981-91BB-4A35-B5E3-FC5FEDF21782}"/>
            </a:ext>
          </a:extLst>
        </xdr:cNvPr>
        <xdr:cNvSpPr/>
      </xdr:nvSpPr>
      <xdr:spPr>
        <a:xfrm>
          <a:off x="66146" y="5420330"/>
          <a:ext cx="1704975" cy="45599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October</a:t>
          </a:r>
          <a:endParaRPr lang="en-US" sz="1100"/>
        </a:p>
      </xdr:txBody>
    </xdr:sp>
    <xdr:clientData/>
  </xdr:twoCellAnchor>
  <xdr:twoCellAnchor>
    <xdr:from>
      <xdr:col>0</xdr:col>
      <xdr:colOff>79376</xdr:colOff>
      <xdr:row>34</xdr:row>
      <xdr:rowOff>183773</xdr:rowOff>
    </xdr:from>
    <xdr:to>
      <xdr:col>2</xdr:col>
      <xdr:colOff>565151</xdr:colOff>
      <xdr:row>37</xdr:row>
      <xdr:rowOff>93814</xdr:rowOff>
    </xdr:to>
    <xdr:sp macro="" textlink="">
      <xdr:nvSpPr>
        <xdr:cNvPr id="15" name="Rectangle: Rounded Corner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25A96E6-B926-44F0-A66F-1728F4F63BC6}"/>
            </a:ext>
          </a:extLst>
        </xdr:cNvPr>
        <xdr:cNvSpPr/>
      </xdr:nvSpPr>
      <xdr:spPr>
        <a:xfrm>
          <a:off x="79376" y="6482973"/>
          <a:ext cx="1704975" cy="46249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December</a:t>
          </a:r>
          <a:endParaRPr lang="en-US" sz="1100"/>
        </a:p>
      </xdr:txBody>
    </xdr:sp>
    <xdr:clientData/>
  </xdr:twoCellAnchor>
  <xdr:twoCellAnchor>
    <xdr:from>
      <xdr:col>42</xdr:col>
      <xdr:colOff>597648</xdr:colOff>
      <xdr:row>0</xdr:row>
      <xdr:rowOff>0</xdr:rowOff>
    </xdr:from>
    <xdr:to>
      <xdr:col>57</xdr:col>
      <xdr:colOff>14942</xdr:colOff>
      <xdr:row>2</xdr:row>
      <xdr:rowOff>171824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B434860-9353-43F1-A78F-B24792853648}"/>
            </a:ext>
          </a:extLst>
        </xdr:cNvPr>
        <xdr:cNvSpPr/>
      </xdr:nvSpPr>
      <xdr:spPr>
        <a:xfrm>
          <a:off x="16390098" y="0"/>
          <a:ext cx="9710644" cy="5401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chemeClr val="bg1"/>
              </a:solidFill>
            </a:rPr>
            <a:t>Monthly</a:t>
          </a:r>
          <a:r>
            <a:rPr lang="en-US" sz="2800" b="1" baseline="0">
              <a:solidFill>
                <a:schemeClr val="bg1"/>
              </a:solidFill>
            </a:rPr>
            <a:t> Report</a:t>
          </a:r>
          <a:endParaRPr lang="en-US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528632</xdr:colOff>
      <xdr:row>0</xdr:row>
      <xdr:rowOff>145304</xdr:rowOff>
    </xdr:from>
    <xdr:to>
      <xdr:col>4</xdr:col>
      <xdr:colOff>506218</xdr:colOff>
      <xdr:row>2</xdr:row>
      <xdr:rowOff>69134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44E4873-1C17-4B6D-9FB7-6C8E2D8AD884}"/>
            </a:ext>
          </a:extLst>
        </xdr:cNvPr>
        <xdr:cNvSpPr/>
      </xdr:nvSpPr>
      <xdr:spPr>
        <a:xfrm>
          <a:off x="1747832" y="145304"/>
          <a:ext cx="1196786" cy="29213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FROM</a:t>
          </a:r>
        </a:p>
      </xdr:txBody>
    </xdr:sp>
    <xdr:clientData/>
  </xdr:twoCellAnchor>
  <xdr:twoCellAnchor>
    <xdr:from>
      <xdr:col>7</xdr:col>
      <xdr:colOff>83384</xdr:colOff>
      <xdr:row>0</xdr:row>
      <xdr:rowOff>140822</xdr:rowOff>
    </xdr:from>
    <xdr:to>
      <xdr:col>8</xdr:col>
      <xdr:colOff>471853</xdr:colOff>
      <xdr:row>2</xdr:row>
      <xdr:rowOff>64652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1E48D89-4FB0-4825-9415-95AFED5DCE0C}"/>
            </a:ext>
          </a:extLst>
        </xdr:cNvPr>
        <xdr:cNvSpPr/>
      </xdr:nvSpPr>
      <xdr:spPr>
        <a:xfrm>
          <a:off x="4604584" y="140822"/>
          <a:ext cx="1207619" cy="29213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TO</a:t>
          </a:r>
        </a:p>
        <a:p>
          <a:pPr marL="0" indent="0" algn="ctr"/>
          <a:endParaRPr lang="en-US" sz="16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494264</xdr:colOff>
      <xdr:row>0</xdr:row>
      <xdr:rowOff>148292</xdr:rowOff>
    </xdr:from>
    <xdr:to>
      <xdr:col>6</xdr:col>
      <xdr:colOff>471851</xdr:colOff>
      <xdr:row>2</xdr:row>
      <xdr:rowOff>72122</xdr:rowOff>
    </xdr:to>
    <xdr:sp macro="" textlink="$G$5">
      <xdr:nvSpPr>
        <xdr:cNvPr id="19" name="Rectangle 18">
          <a:extLst>
            <a:ext uri="{FF2B5EF4-FFF2-40B4-BE49-F238E27FC236}">
              <a16:creationId xmlns:a16="http://schemas.microsoft.com/office/drawing/2014/main" id="{B91ADA2C-1D38-42D0-81F4-2ACA185044D0}"/>
            </a:ext>
          </a:extLst>
        </xdr:cNvPr>
        <xdr:cNvSpPr/>
      </xdr:nvSpPr>
      <xdr:spPr>
        <a:xfrm>
          <a:off x="2932664" y="148292"/>
          <a:ext cx="1196787" cy="29213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1BAFFE97-76C2-4FA9-8172-754635694528}" type="TxLink">
            <a:rPr lang="en-US" sz="1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pPr algn="ctr"/>
            <a:t>01-Nov-2025</a:t>
          </a:fld>
          <a:endParaRPr lang="en-US" sz="1400"/>
        </a:p>
      </xdr:txBody>
    </xdr:sp>
    <xdr:clientData/>
  </xdr:twoCellAnchor>
  <xdr:twoCellAnchor>
    <xdr:from>
      <xdr:col>8</xdr:col>
      <xdr:colOff>490329</xdr:colOff>
      <xdr:row>0</xdr:row>
      <xdr:rowOff>134874</xdr:rowOff>
    </xdr:from>
    <xdr:to>
      <xdr:col>11</xdr:col>
      <xdr:colOff>19680</xdr:colOff>
      <xdr:row>2</xdr:row>
      <xdr:rowOff>58704</xdr:rowOff>
    </xdr:to>
    <xdr:sp macro="" textlink="$M$5">
      <xdr:nvSpPr>
        <xdr:cNvPr id="20" name="Rectangle 19">
          <a:extLst>
            <a:ext uri="{FF2B5EF4-FFF2-40B4-BE49-F238E27FC236}">
              <a16:creationId xmlns:a16="http://schemas.microsoft.com/office/drawing/2014/main" id="{62C7C385-C095-4963-B5C9-F255D23FD052}"/>
            </a:ext>
          </a:extLst>
        </xdr:cNvPr>
        <xdr:cNvSpPr/>
      </xdr:nvSpPr>
      <xdr:spPr>
        <a:xfrm>
          <a:off x="5830679" y="134874"/>
          <a:ext cx="1212101" cy="29213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F18C7413-8E99-44FA-A55E-E2450FCA2E79}" type="TxLink">
            <a:rPr lang="en-US" sz="1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pPr algn="ctr"/>
            <a:t>30-Nov-2025</a:t>
          </a:fld>
          <a:endParaRPr lang="en-US" sz="1400"/>
        </a:p>
      </xdr:txBody>
    </xdr:sp>
    <xdr:clientData/>
  </xdr:twoCellAnchor>
  <xdr:twoCellAnchor>
    <xdr:from>
      <xdr:col>12</xdr:col>
      <xdr:colOff>205619</xdr:colOff>
      <xdr:row>0</xdr:row>
      <xdr:rowOff>87923</xdr:rowOff>
    </xdr:from>
    <xdr:to>
      <xdr:col>24</xdr:col>
      <xdr:colOff>189802</xdr:colOff>
      <xdr:row>2</xdr:row>
      <xdr:rowOff>113489</xdr:rowOff>
    </xdr:to>
    <xdr:sp macro="" textlink="$M$5">
      <xdr:nvSpPr>
        <xdr:cNvPr id="21" name="Rectangle 20">
          <a:extLst>
            <a:ext uri="{FF2B5EF4-FFF2-40B4-BE49-F238E27FC236}">
              <a16:creationId xmlns:a16="http://schemas.microsoft.com/office/drawing/2014/main" id="{30D40B2A-9E92-441F-BA1F-BA204DF17E8B}"/>
            </a:ext>
          </a:extLst>
        </xdr:cNvPr>
        <xdr:cNvSpPr/>
      </xdr:nvSpPr>
      <xdr:spPr>
        <a:xfrm>
          <a:off x="7501769" y="87923"/>
          <a:ext cx="3260783" cy="393866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Dashboard</a:t>
          </a:r>
          <a:r>
            <a:rPr lang="en-US" sz="2400" baseline="0"/>
            <a:t> For Month    f </a:t>
          </a:r>
          <a:endParaRPr lang="en-US" sz="2400"/>
        </a:p>
      </xdr:txBody>
    </xdr:sp>
    <xdr:clientData/>
  </xdr:twoCellAnchor>
  <xdr:twoCellAnchor>
    <xdr:from>
      <xdr:col>23</xdr:col>
      <xdr:colOff>185905</xdr:colOff>
      <xdr:row>0</xdr:row>
      <xdr:rowOff>83181</xdr:rowOff>
    </xdr:from>
    <xdr:to>
      <xdr:col>29</xdr:col>
      <xdr:colOff>133803</xdr:colOff>
      <xdr:row>2</xdr:row>
      <xdr:rowOff>111938</xdr:rowOff>
    </xdr:to>
    <xdr:sp macro="" textlink="$I$4">
      <xdr:nvSpPr>
        <xdr:cNvPr id="22" name="Rectangle 21">
          <a:extLst>
            <a:ext uri="{FF2B5EF4-FFF2-40B4-BE49-F238E27FC236}">
              <a16:creationId xmlns:a16="http://schemas.microsoft.com/office/drawing/2014/main" id="{16A60777-59FB-4C5E-9F92-3C08CE83FC30}"/>
            </a:ext>
          </a:extLst>
        </xdr:cNvPr>
        <xdr:cNvSpPr/>
      </xdr:nvSpPr>
      <xdr:spPr>
        <a:xfrm flipH="1">
          <a:off x="10546988" y="83181"/>
          <a:ext cx="1535398" cy="39917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7CCC7E4-D351-43A5-B697-CE8115FFBC59}" type="TxLink">
            <a:rPr lang="en-US" sz="2400" b="0" i="0" u="none" strike="noStrike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Narrow"/>
            </a:rPr>
            <a:pPr algn="l"/>
            <a:t>November</a:t>
          </a:fld>
          <a:endParaRPr lang="en-US" sz="2400" b="0" cap="none" spc="0">
            <a:ln w="0"/>
            <a:solidFill>
              <a:schemeClr val="accent2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75822</xdr:colOff>
      <xdr:row>3</xdr:row>
      <xdr:rowOff>40216</xdr:rowOff>
    </xdr:from>
    <xdr:to>
      <xdr:col>2</xdr:col>
      <xdr:colOff>560388</xdr:colOff>
      <xdr:row>5</xdr:row>
      <xdr:rowOff>105984</xdr:rowOff>
    </xdr:to>
    <xdr:sp macro="" textlink="">
      <xdr:nvSpPr>
        <xdr:cNvPr id="23" name="Rectangle: Rounded Corners 2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8F2E65A-94D4-4394-A36E-5335FCE90DB2}"/>
            </a:ext>
          </a:extLst>
        </xdr:cNvPr>
        <xdr:cNvSpPr/>
      </xdr:nvSpPr>
      <xdr:spPr>
        <a:xfrm>
          <a:off x="75822" y="592666"/>
          <a:ext cx="1703766" cy="44041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January</a:t>
          </a:r>
          <a:endParaRPr lang="en-US" sz="1100"/>
        </a:p>
      </xdr:txBody>
    </xdr:sp>
    <xdr:clientData/>
  </xdr:twoCellAnchor>
  <xdr:twoCellAnchor editAs="oneCell">
    <xdr:from>
      <xdr:col>22</xdr:col>
      <xdr:colOff>139098</xdr:colOff>
      <xdr:row>1</xdr:row>
      <xdr:rowOff>74084</xdr:rowOff>
    </xdr:from>
    <xdr:to>
      <xdr:col>23</xdr:col>
      <xdr:colOff>90715</xdr:colOff>
      <xdr:row>2</xdr:row>
      <xdr:rowOff>104321</xdr:rowOff>
    </xdr:to>
    <xdr:pic>
      <xdr:nvPicPr>
        <xdr:cNvPr id="24" name="Graphic 23" descr="Magnifying glass with solid fill">
          <a:extLst>
            <a:ext uri="{FF2B5EF4-FFF2-40B4-BE49-F238E27FC236}">
              <a16:creationId xmlns:a16="http://schemas.microsoft.com/office/drawing/2014/main" id="{0EFF9C79-ACBA-4EDC-A6B6-A1CC1C607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 rot="5400000">
          <a:off x="10238621" y="261561"/>
          <a:ext cx="215446" cy="210908"/>
        </a:xfrm>
        <a:prstGeom prst="rect">
          <a:avLst/>
        </a:prstGeom>
      </xdr:spPr>
    </xdr:pic>
    <xdr:clientData/>
  </xdr:twoCellAnchor>
  <xdr:twoCellAnchor>
    <xdr:from>
      <xdr:col>30</xdr:col>
      <xdr:colOff>18141</xdr:colOff>
      <xdr:row>0</xdr:row>
      <xdr:rowOff>66525</xdr:rowOff>
    </xdr:from>
    <xdr:to>
      <xdr:col>32</xdr:col>
      <xdr:colOff>84666</xdr:colOff>
      <xdr:row>2</xdr:row>
      <xdr:rowOff>54429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ABED4057-A438-4CD2-B9EA-D947EB4C5B79}"/>
            </a:ext>
          </a:extLst>
        </xdr:cNvPr>
        <xdr:cNvSpPr/>
      </xdr:nvSpPr>
      <xdr:spPr>
        <a:xfrm>
          <a:off x="12241891" y="66525"/>
          <a:ext cx="511025" cy="3562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🟢</a:t>
          </a:r>
        </a:p>
      </xdr:txBody>
    </xdr:sp>
    <xdr:clientData/>
  </xdr:twoCellAnchor>
  <xdr:twoCellAnchor>
    <xdr:from>
      <xdr:col>35</xdr:col>
      <xdr:colOff>72574</xdr:colOff>
      <xdr:row>0</xdr:row>
      <xdr:rowOff>84668</xdr:rowOff>
    </xdr:from>
    <xdr:to>
      <xdr:col>38</xdr:col>
      <xdr:colOff>223764</xdr:colOff>
      <xdr:row>2</xdr:row>
      <xdr:rowOff>48382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9C760772-8054-4395-B637-4CFFF81D7CAD}"/>
            </a:ext>
          </a:extLst>
        </xdr:cNvPr>
        <xdr:cNvSpPr/>
      </xdr:nvSpPr>
      <xdr:spPr>
        <a:xfrm>
          <a:off x="13579024" y="84668"/>
          <a:ext cx="925890" cy="33201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ABSENT</a:t>
          </a:r>
        </a:p>
      </xdr:txBody>
    </xdr:sp>
    <xdr:clientData/>
  </xdr:twoCellAnchor>
  <xdr:twoCellAnchor>
    <xdr:from>
      <xdr:col>34</xdr:col>
      <xdr:colOff>85877</xdr:colOff>
      <xdr:row>0</xdr:row>
      <xdr:rowOff>61685</xdr:rowOff>
    </xdr:from>
    <xdr:to>
      <xdr:col>35</xdr:col>
      <xdr:colOff>266096</xdr:colOff>
      <xdr:row>2</xdr:row>
      <xdr:rowOff>42333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EC40B7B4-643B-436B-8E75-DA9505304BF6}"/>
            </a:ext>
          </a:extLst>
        </xdr:cNvPr>
        <xdr:cNvSpPr/>
      </xdr:nvSpPr>
      <xdr:spPr>
        <a:xfrm>
          <a:off x="13331977" y="61685"/>
          <a:ext cx="440569" cy="34894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US" sz="1100"/>
            <a:t>🔴</a:t>
          </a:r>
        </a:p>
      </xdr:txBody>
    </xdr:sp>
    <xdr:clientData/>
  </xdr:twoCellAnchor>
  <xdr:twoCellAnchor>
    <xdr:from>
      <xdr:col>31</xdr:col>
      <xdr:colOff>181429</xdr:colOff>
      <xdr:row>0</xdr:row>
      <xdr:rowOff>127001</xdr:rowOff>
    </xdr:from>
    <xdr:to>
      <xdr:col>34</xdr:col>
      <xdr:colOff>127000</xdr:colOff>
      <xdr:row>2</xdr:row>
      <xdr:rowOff>24191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62D1A6D-B315-4606-8FDD-ECA01B479877}"/>
            </a:ext>
          </a:extLst>
        </xdr:cNvPr>
        <xdr:cNvSpPr/>
      </xdr:nvSpPr>
      <xdr:spPr>
        <a:xfrm>
          <a:off x="12608379" y="127001"/>
          <a:ext cx="764721" cy="26549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PRESENT</a:t>
          </a:r>
        </a:p>
      </xdr:txBody>
    </xdr:sp>
    <xdr:clientData/>
  </xdr:twoCellAnchor>
  <xdr:twoCellAnchor>
    <xdr:from>
      <xdr:col>40</xdr:col>
      <xdr:colOff>96764</xdr:colOff>
      <xdr:row>0</xdr:row>
      <xdr:rowOff>60477</xdr:rowOff>
    </xdr:from>
    <xdr:to>
      <xdr:col>42</xdr:col>
      <xdr:colOff>42334</xdr:colOff>
      <xdr:row>2</xdr:row>
      <xdr:rowOff>60476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E5D18179-9EF1-4D4F-93A5-7D57BAD6C5B9}"/>
            </a:ext>
          </a:extLst>
        </xdr:cNvPr>
        <xdr:cNvSpPr/>
      </xdr:nvSpPr>
      <xdr:spPr>
        <a:xfrm>
          <a:off x="14924014" y="60477"/>
          <a:ext cx="910770" cy="36829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LEAVE</a:t>
          </a:r>
        </a:p>
      </xdr:txBody>
    </xdr:sp>
    <xdr:clientData/>
  </xdr:twoCellAnchor>
  <xdr:twoCellAnchor>
    <xdr:from>
      <xdr:col>39</xdr:col>
      <xdr:colOff>99180</xdr:colOff>
      <xdr:row>0</xdr:row>
      <xdr:rowOff>50801</xdr:rowOff>
    </xdr:from>
    <xdr:to>
      <xdr:col>40</xdr:col>
      <xdr:colOff>302381</xdr:colOff>
      <xdr:row>2</xdr:row>
      <xdr:rowOff>60477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23642FA6-92DD-4451-A7BD-8A8722493AAE}"/>
            </a:ext>
          </a:extLst>
        </xdr:cNvPr>
        <xdr:cNvSpPr/>
      </xdr:nvSpPr>
      <xdr:spPr>
        <a:xfrm>
          <a:off x="14634330" y="50801"/>
          <a:ext cx="495301" cy="377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39</xdr:col>
      <xdr:colOff>247954</xdr:colOff>
      <xdr:row>0</xdr:row>
      <xdr:rowOff>60477</xdr:rowOff>
    </xdr:from>
    <xdr:to>
      <xdr:col>41</xdr:col>
      <xdr:colOff>514048</xdr:colOff>
      <xdr:row>2</xdr:row>
      <xdr:rowOff>60476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30A3CF73-D9DA-4CD0-9BD2-E625390A3575}"/>
            </a:ext>
          </a:extLst>
        </xdr:cNvPr>
        <xdr:cNvSpPr/>
      </xdr:nvSpPr>
      <xdr:spPr>
        <a:xfrm>
          <a:off x="14783104" y="60477"/>
          <a:ext cx="913794" cy="36829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LEAVE</a:t>
          </a:r>
        </a:p>
      </xdr:txBody>
    </xdr:sp>
    <xdr:clientData/>
  </xdr:twoCellAnchor>
  <xdr:twoCellAnchor>
    <xdr:from>
      <xdr:col>38</xdr:col>
      <xdr:colOff>214085</xdr:colOff>
      <xdr:row>0</xdr:row>
      <xdr:rowOff>50801</xdr:rowOff>
    </xdr:from>
    <xdr:to>
      <xdr:col>40</xdr:col>
      <xdr:colOff>163286</xdr:colOff>
      <xdr:row>2</xdr:row>
      <xdr:rowOff>60477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4ED4D968-E72B-45E6-90AC-6ED1E912DFE8}"/>
            </a:ext>
          </a:extLst>
        </xdr:cNvPr>
        <xdr:cNvSpPr/>
      </xdr:nvSpPr>
      <xdr:spPr>
        <a:xfrm>
          <a:off x="14495235" y="50801"/>
          <a:ext cx="495301" cy="377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1</xdr:col>
      <xdr:colOff>123296</xdr:colOff>
      <xdr:row>32</xdr:row>
      <xdr:rowOff>14515</xdr:rowOff>
    </xdr:from>
    <xdr:to>
      <xdr:col>3</xdr:col>
      <xdr:colOff>609071</xdr:colOff>
      <xdr:row>34</xdr:row>
      <xdr:rowOff>109765</xdr:rowOff>
    </xdr:to>
    <xdr:sp macro="" textlink="">
      <xdr:nvSpPr>
        <xdr:cNvPr id="33" name="Rectangle: Rounded Corners 3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5172AE6-C2BC-5A65-C571-2A5487B6154F}"/>
            </a:ext>
          </a:extLst>
        </xdr:cNvPr>
        <xdr:cNvSpPr/>
      </xdr:nvSpPr>
      <xdr:spPr>
        <a:xfrm>
          <a:off x="732896" y="5945415"/>
          <a:ext cx="1704975" cy="463550"/>
        </a:xfrm>
        <a:prstGeom prst="roundRect">
          <a:avLst/>
        </a:prstGeom>
        <a:solidFill>
          <a:schemeClr val="bg2"/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November</a:t>
          </a:r>
          <a:endParaRPr 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557648</xdr:colOff>
      <xdr:row>0</xdr:row>
      <xdr:rowOff>0</xdr:rowOff>
    </xdr:from>
    <xdr:to>
      <xdr:col>42</xdr:col>
      <xdr:colOff>290286</xdr:colOff>
      <xdr:row>2</xdr:row>
      <xdr:rowOff>156883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E7F390B-FFBD-403F-964C-B1B388B5BD04}"/>
            </a:ext>
          </a:extLst>
        </xdr:cNvPr>
        <xdr:cNvSpPr/>
      </xdr:nvSpPr>
      <xdr:spPr>
        <a:xfrm>
          <a:off x="1776848" y="0"/>
          <a:ext cx="14305888" cy="5251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KKKI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590550</xdr:colOff>
      <xdr:row>38</xdr:row>
      <xdr:rowOff>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D3B5CA5-2F59-4406-9104-72BEB442A541}"/>
            </a:ext>
          </a:extLst>
        </xdr:cNvPr>
        <xdr:cNvSpPr/>
      </xdr:nvSpPr>
      <xdr:spPr>
        <a:xfrm>
          <a:off x="0" y="0"/>
          <a:ext cx="1809750" cy="703580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66146</xdr:colOff>
      <xdr:row>6</xdr:row>
      <xdr:rowOff>10583</xdr:rowOff>
    </xdr:from>
    <xdr:to>
      <xdr:col>2</xdr:col>
      <xdr:colOff>551921</xdr:colOff>
      <xdr:row>8</xdr:row>
      <xdr:rowOff>100541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51783E-0771-4186-BF2F-083F32486922}"/>
            </a:ext>
          </a:extLst>
        </xdr:cNvPr>
        <xdr:cNvSpPr/>
      </xdr:nvSpPr>
      <xdr:spPr>
        <a:xfrm>
          <a:off x="66146" y="1147233"/>
          <a:ext cx="1704975" cy="44555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February</a:t>
          </a:r>
          <a:endParaRPr lang="en-US" sz="1100"/>
        </a:p>
      </xdr:txBody>
    </xdr:sp>
    <xdr:clientData/>
  </xdr:twoCellAnchor>
  <xdr:twoCellAnchor>
    <xdr:from>
      <xdr:col>0</xdr:col>
      <xdr:colOff>68263</xdr:colOff>
      <xdr:row>8</xdr:row>
      <xdr:rowOff>185207</xdr:rowOff>
    </xdr:from>
    <xdr:to>
      <xdr:col>2</xdr:col>
      <xdr:colOff>554038</xdr:colOff>
      <xdr:row>11</xdr:row>
      <xdr:rowOff>95249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737749-C4D0-4F13-B4CF-6DFADCC26FEC}"/>
            </a:ext>
          </a:extLst>
        </xdr:cNvPr>
        <xdr:cNvSpPr/>
      </xdr:nvSpPr>
      <xdr:spPr>
        <a:xfrm>
          <a:off x="68263" y="1677457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March</a:t>
          </a:r>
          <a:endParaRPr lang="en-US" sz="1100"/>
        </a:p>
      </xdr:txBody>
    </xdr:sp>
    <xdr:clientData/>
  </xdr:twoCellAnchor>
  <xdr:twoCellAnchor>
    <xdr:from>
      <xdr:col>0</xdr:col>
      <xdr:colOff>68263</xdr:colOff>
      <xdr:row>11</xdr:row>
      <xdr:rowOff>147636</xdr:rowOff>
    </xdr:from>
    <xdr:to>
      <xdr:col>2</xdr:col>
      <xdr:colOff>554038</xdr:colOff>
      <xdr:row>14</xdr:row>
      <xdr:rowOff>57678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4B8001D-6AF5-40E8-B27A-AE1901B2E496}"/>
            </a:ext>
          </a:extLst>
        </xdr:cNvPr>
        <xdr:cNvSpPr/>
      </xdr:nvSpPr>
      <xdr:spPr>
        <a:xfrm>
          <a:off x="68263" y="2192336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April</a:t>
          </a:r>
          <a:endParaRPr lang="en-US" sz="1100"/>
        </a:p>
      </xdr:txBody>
    </xdr:sp>
    <xdr:clientData/>
  </xdr:twoCellAnchor>
  <xdr:twoCellAnchor>
    <xdr:from>
      <xdr:col>0</xdr:col>
      <xdr:colOff>79375</xdr:colOff>
      <xdr:row>14</xdr:row>
      <xdr:rowOff>129116</xdr:rowOff>
    </xdr:from>
    <xdr:to>
      <xdr:col>2</xdr:col>
      <xdr:colOff>565150</xdr:colOff>
      <xdr:row>17</xdr:row>
      <xdr:rowOff>39158</xdr:rowOff>
    </xdr:to>
    <xdr:sp macro="" textlink="">
      <xdr:nvSpPr>
        <xdr:cNvPr id="8" name="Rectangle: Rounded Corner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FFF485D-5D37-49D5-A3A1-F83400E44129}"/>
            </a:ext>
          </a:extLst>
        </xdr:cNvPr>
        <xdr:cNvSpPr/>
      </xdr:nvSpPr>
      <xdr:spPr>
        <a:xfrm>
          <a:off x="79375" y="2726266"/>
          <a:ext cx="1704975" cy="4751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May</a:t>
          </a:r>
          <a:endParaRPr lang="en-US" sz="1100"/>
        </a:p>
      </xdr:txBody>
    </xdr:sp>
    <xdr:clientData/>
  </xdr:twoCellAnchor>
  <xdr:twoCellAnchor>
    <xdr:from>
      <xdr:col>0</xdr:col>
      <xdr:colOff>71968</xdr:colOff>
      <xdr:row>17</xdr:row>
      <xdr:rowOff>125411</xdr:rowOff>
    </xdr:from>
    <xdr:to>
      <xdr:col>2</xdr:col>
      <xdr:colOff>557743</xdr:colOff>
      <xdr:row>20</xdr:row>
      <xdr:rowOff>35453</xdr:rowOff>
    </xdr:to>
    <xdr:sp macro="" textlink="">
      <xdr:nvSpPr>
        <xdr:cNvPr id="9" name="Rectangle: Rounded Corner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3D1AF9F-0FF7-47FE-8856-F5228DF67298}"/>
            </a:ext>
          </a:extLst>
        </xdr:cNvPr>
        <xdr:cNvSpPr/>
      </xdr:nvSpPr>
      <xdr:spPr>
        <a:xfrm>
          <a:off x="71968" y="3287711"/>
          <a:ext cx="1704975" cy="46249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June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20</xdr:row>
      <xdr:rowOff>114299</xdr:rowOff>
    </xdr:from>
    <xdr:to>
      <xdr:col>2</xdr:col>
      <xdr:colOff>551921</xdr:colOff>
      <xdr:row>23</xdr:row>
      <xdr:rowOff>19049</xdr:rowOff>
    </xdr:to>
    <xdr:sp macro="" textlink="">
      <xdr:nvSpPr>
        <xdr:cNvPr id="10" name="Rectangle: Rounded Corner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F8FFCCF-920B-4534-BB8D-851974677AD5}"/>
            </a:ext>
          </a:extLst>
        </xdr:cNvPr>
        <xdr:cNvSpPr/>
      </xdr:nvSpPr>
      <xdr:spPr>
        <a:xfrm>
          <a:off x="66146" y="3829049"/>
          <a:ext cx="1704975" cy="45720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July</a:t>
          </a:r>
          <a:endParaRPr lang="en-US" sz="1100"/>
        </a:p>
      </xdr:txBody>
    </xdr:sp>
    <xdr:clientData/>
  </xdr:twoCellAnchor>
  <xdr:twoCellAnchor>
    <xdr:from>
      <xdr:col>0</xdr:col>
      <xdr:colOff>71967</xdr:colOff>
      <xdr:row>23</xdr:row>
      <xdr:rowOff>86255</xdr:rowOff>
    </xdr:from>
    <xdr:to>
      <xdr:col>2</xdr:col>
      <xdr:colOff>557742</xdr:colOff>
      <xdr:row>25</xdr:row>
      <xdr:rowOff>176214</xdr:rowOff>
    </xdr:to>
    <xdr:sp macro="" textlink="">
      <xdr:nvSpPr>
        <xdr:cNvPr id="11" name="Rectangle: Rounded Corner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1E831E2-8B0D-4A02-963A-1D34967C3A17}"/>
            </a:ext>
          </a:extLst>
        </xdr:cNvPr>
        <xdr:cNvSpPr/>
      </xdr:nvSpPr>
      <xdr:spPr>
        <a:xfrm>
          <a:off x="71967" y="4353455"/>
          <a:ext cx="1704975" cy="45825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August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26</xdr:row>
      <xdr:rowOff>58888</xdr:rowOff>
    </xdr:from>
    <xdr:to>
      <xdr:col>2</xdr:col>
      <xdr:colOff>551921</xdr:colOff>
      <xdr:row>28</xdr:row>
      <xdr:rowOff>146579</xdr:rowOff>
    </xdr:to>
    <xdr:sp macro="" textlink="">
      <xdr:nvSpPr>
        <xdr:cNvPr id="12" name="Rectangle: Rounded Corner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C5AFF97-6B1E-43AA-975C-3DB317FDC5FC}"/>
            </a:ext>
          </a:extLst>
        </xdr:cNvPr>
        <xdr:cNvSpPr/>
      </xdr:nvSpPr>
      <xdr:spPr>
        <a:xfrm>
          <a:off x="66146" y="4878538"/>
          <a:ext cx="1704975" cy="46234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Steptember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29</xdr:row>
      <xdr:rowOff>41880</xdr:rowOff>
    </xdr:from>
    <xdr:to>
      <xdr:col>2</xdr:col>
      <xdr:colOff>551921</xdr:colOff>
      <xdr:row>31</xdr:row>
      <xdr:rowOff>129571</xdr:rowOff>
    </xdr:to>
    <xdr:sp macro="" textlink="">
      <xdr:nvSpPr>
        <xdr:cNvPr id="13" name="Rectangle: Rounded Corner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AE4D2EB-35A5-49CA-B5D8-8AA60EA185C7}"/>
            </a:ext>
          </a:extLst>
        </xdr:cNvPr>
        <xdr:cNvSpPr/>
      </xdr:nvSpPr>
      <xdr:spPr>
        <a:xfrm>
          <a:off x="66146" y="5420330"/>
          <a:ext cx="1704975" cy="45599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October</a:t>
          </a:r>
          <a:endParaRPr lang="en-US" sz="1100"/>
        </a:p>
      </xdr:txBody>
    </xdr:sp>
    <xdr:clientData/>
  </xdr:twoCellAnchor>
  <xdr:twoCellAnchor>
    <xdr:from>
      <xdr:col>0</xdr:col>
      <xdr:colOff>66146</xdr:colOff>
      <xdr:row>32</xdr:row>
      <xdr:rowOff>8165</xdr:rowOff>
    </xdr:from>
    <xdr:to>
      <xdr:col>2</xdr:col>
      <xdr:colOff>551921</xdr:colOff>
      <xdr:row>34</xdr:row>
      <xdr:rowOff>103415</xdr:rowOff>
    </xdr:to>
    <xdr:sp macro="" textlink="">
      <xdr:nvSpPr>
        <xdr:cNvPr id="14" name="Rectangle: Rounded Corners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5C05700-9BF1-48CE-B3A1-822DD705F7B3}"/>
            </a:ext>
          </a:extLst>
        </xdr:cNvPr>
        <xdr:cNvSpPr/>
      </xdr:nvSpPr>
      <xdr:spPr>
        <a:xfrm>
          <a:off x="66146" y="5939065"/>
          <a:ext cx="1704975" cy="46355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November</a:t>
          </a:r>
          <a:endParaRPr lang="en-US" sz="1100"/>
        </a:p>
      </xdr:txBody>
    </xdr:sp>
    <xdr:clientData/>
  </xdr:twoCellAnchor>
  <xdr:twoCellAnchor>
    <xdr:from>
      <xdr:col>42</xdr:col>
      <xdr:colOff>597648</xdr:colOff>
      <xdr:row>0</xdr:row>
      <xdr:rowOff>0</xdr:rowOff>
    </xdr:from>
    <xdr:to>
      <xdr:col>57</xdr:col>
      <xdr:colOff>14942</xdr:colOff>
      <xdr:row>2</xdr:row>
      <xdr:rowOff>171824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8669856-2E3C-4FB9-873E-3D0B6B12AE06}"/>
            </a:ext>
          </a:extLst>
        </xdr:cNvPr>
        <xdr:cNvSpPr/>
      </xdr:nvSpPr>
      <xdr:spPr>
        <a:xfrm>
          <a:off x="16390098" y="0"/>
          <a:ext cx="9710644" cy="5401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chemeClr val="bg1"/>
              </a:solidFill>
            </a:rPr>
            <a:t>Monthly</a:t>
          </a:r>
          <a:r>
            <a:rPr lang="en-US" sz="2800" b="1" baseline="0">
              <a:solidFill>
                <a:schemeClr val="bg1"/>
              </a:solidFill>
            </a:rPr>
            <a:t> Report</a:t>
          </a:r>
          <a:endParaRPr lang="en-US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83384</xdr:colOff>
      <xdr:row>0</xdr:row>
      <xdr:rowOff>140822</xdr:rowOff>
    </xdr:from>
    <xdr:to>
      <xdr:col>8</xdr:col>
      <xdr:colOff>471853</xdr:colOff>
      <xdr:row>2</xdr:row>
      <xdr:rowOff>64652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32270C05-F679-4F25-A581-1393116A6FE1}"/>
            </a:ext>
          </a:extLst>
        </xdr:cNvPr>
        <xdr:cNvSpPr/>
      </xdr:nvSpPr>
      <xdr:spPr>
        <a:xfrm>
          <a:off x="4604584" y="140822"/>
          <a:ext cx="1207619" cy="29213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TO</a:t>
          </a:r>
        </a:p>
        <a:p>
          <a:pPr marL="0" indent="0" algn="ctr"/>
          <a:endParaRPr lang="en-US" sz="16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494264</xdr:colOff>
      <xdr:row>0</xdr:row>
      <xdr:rowOff>148292</xdr:rowOff>
    </xdr:from>
    <xdr:to>
      <xdr:col>6</xdr:col>
      <xdr:colOff>471851</xdr:colOff>
      <xdr:row>2</xdr:row>
      <xdr:rowOff>72122</xdr:rowOff>
    </xdr:to>
    <xdr:sp macro="" textlink="$G$5">
      <xdr:nvSpPr>
        <xdr:cNvPr id="19" name="Rectangle 18">
          <a:extLst>
            <a:ext uri="{FF2B5EF4-FFF2-40B4-BE49-F238E27FC236}">
              <a16:creationId xmlns:a16="http://schemas.microsoft.com/office/drawing/2014/main" id="{B76DE954-AF05-4CF6-830F-CC5D894D659F}"/>
            </a:ext>
          </a:extLst>
        </xdr:cNvPr>
        <xdr:cNvSpPr/>
      </xdr:nvSpPr>
      <xdr:spPr>
        <a:xfrm>
          <a:off x="2932664" y="148292"/>
          <a:ext cx="1196787" cy="29213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1BAFFE97-76C2-4FA9-8172-754635694528}" type="TxLink">
            <a:rPr lang="en-US" sz="1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pPr algn="ctr"/>
            <a:t>01-Dec-2025</a:t>
          </a:fld>
          <a:endParaRPr lang="en-US" sz="1400"/>
        </a:p>
      </xdr:txBody>
    </xdr:sp>
    <xdr:clientData/>
  </xdr:twoCellAnchor>
  <xdr:twoCellAnchor>
    <xdr:from>
      <xdr:col>8</xdr:col>
      <xdr:colOff>490329</xdr:colOff>
      <xdr:row>0</xdr:row>
      <xdr:rowOff>134874</xdr:rowOff>
    </xdr:from>
    <xdr:to>
      <xdr:col>11</xdr:col>
      <xdr:colOff>19680</xdr:colOff>
      <xdr:row>2</xdr:row>
      <xdr:rowOff>58704</xdr:rowOff>
    </xdr:to>
    <xdr:sp macro="" textlink="$M$5">
      <xdr:nvSpPr>
        <xdr:cNvPr id="20" name="Rectangle 19">
          <a:extLst>
            <a:ext uri="{FF2B5EF4-FFF2-40B4-BE49-F238E27FC236}">
              <a16:creationId xmlns:a16="http://schemas.microsoft.com/office/drawing/2014/main" id="{A1FA1CDE-5208-4583-8E60-3DA8F3EC7C68}"/>
            </a:ext>
          </a:extLst>
        </xdr:cNvPr>
        <xdr:cNvSpPr/>
      </xdr:nvSpPr>
      <xdr:spPr>
        <a:xfrm>
          <a:off x="5830679" y="134874"/>
          <a:ext cx="1212101" cy="29213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F18C7413-8E99-44FA-A55E-E2450FCA2E79}" type="TxLink">
            <a:rPr lang="en-US" sz="1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pPr algn="ctr"/>
            <a:t>31-Dec-2025</a:t>
          </a:fld>
          <a:endParaRPr lang="en-US" sz="1400"/>
        </a:p>
      </xdr:txBody>
    </xdr:sp>
    <xdr:clientData/>
  </xdr:twoCellAnchor>
  <xdr:twoCellAnchor>
    <xdr:from>
      <xdr:col>12</xdr:col>
      <xdr:colOff>205619</xdr:colOff>
      <xdr:row>0</xdr:row>
      <xdr:rowOff>87923</xdr:rowOff>
    </xdr:from>
    <xdr:to>
      <xdr:col>24</xdr:col>
      <xdr:colOff>189802</xdr:colOff>
      <xdr:row>2</xdr:row>
      <xdr:rowOff>113489</xdr:rowOff>
    </xdr:to>
    <xdr:sp macro="" textlink="$M$5">
      <xdr:nvSpPr>
        <xdr:cNvPr id="21" name="Rectangle 20">
          <a:extLst>
            <a:ext uri="{FF2B5EF4-FFF2-40B4-BE49-F238E27FC236}">
              <a16:creationId xmlns:a16="http://schemas.microsoft.com/office/drawing/2014/main" id="{FBE1D797-D7A0-4366-9DF5-3FC2258C4A6D}"/>
            </a:ext>
          </a:extLst>
        </xdr:cNvPr>
        <xdr:cNvSpPr/>
      </xdr:nvSpPr>
      <xdr:spPr>
        <a:xfrm>
          <a:off x="7501769" y="87923"/>
          <a:ext cx="3260783" cy="393866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400"/>
            <a:t>Dashboard</a:t>
          </a:r>
          <a:r>
            <a:rPr lang="en-US" sz="2400" baseline="0"/>
            <a:t> For Month    f </a:t>
          </a:r>
          <a:endParaRPr lang="en-US" sz="2400"/>
        </a:p>
      </xdr:txBody>
    </xdr:sp>
    <xdr:clientData/>
  </xdr:twoCellAnchor>
  <xdr:twoCellAnchor>
    <xdr:from>
      <xdr:col>23</xdr:col>
      <xdr:colOff>186216</xdr:colOff>
      <xdr:row>0</xdr:row>
      <xdr:rowOff>89646</xdr:rowOff>
    </xdr:from>
    <xdr:to>
      <xdr:col>29</xdr:col>
      <xdr:colOff>134469</xdr:colOff>
      <xdr:row>2</xdr:row>
      <xdr:rowOff>112940</xdr:rowOff>
    </xdr:to>
    <xdr:sp macro="" textlink="$I$4">
      <xdr:nvSpPr>
        <xdr:cNvPr id="22" name="Rectangle 21">
          <a:extLst>
            <a:ext uri="{FF2B5EF4-FFF2-40B4-BE49-F238E27FC236}">
              <a16:creationId xmlns:a16="http://schemas.microsoft.com/office/drawing/2014/main" id="{A06DDD98-BE19-4E09-8797-C324C79D0177}"/>
            </a:ext>
          </a:extLst>
        </xdr:cNvPr>
        <xdr:cNvSpPr/>
      </xdr:nvSpPr>
      <xdr:spPr>
        <a:xfrm flipH="1">
          <a:off x="10630098" y="89646"/>
          <a:ext cx="1591783" cy="396823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7CCC7E4-D351-43A5-B697-CE8115FFBC59}" type="TxLink">
            <a:rPr lang="en-US" sz="2400" b="0" i="0" u="none" strike="noStrike" cap="none" spc="0">
              <a:ln w="0"/>
              <a:solidFill>
                <a:schemeClr val="accent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Narrow"/>
            </a:rPr>
            <a:pPr algn="l"/>
            <a:t>December</a:t>
          </a:fld>
          <a:endParaRPr lang="en-US" sz="2400" b="0" cap="none" spc="0">
            <a:ln w="0"/>
            <a:solidFill>
              <a:schemeClr val="accent2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63122</xdr:colOff>
      <xdr:row>3</xdr:row>
      <xdr:rowOff>33866</xdr:rowOff>
    </xdr:from>
    <xdr:to>
      <xdr:col>2</xdr:col>
      <xdr:colOff>547688</xdr:colOff>
      <xdr:row>5</xdr:row>
      <xdr:rowOff>99634</xdr:rowOff>
    </xdr:to>
    <xdr:sp macro="" textlink="">
      <xdr:nvSpPr>
        <xdr:cNvPr id="23" name="Rectangle: Rounded Corners 2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6E43BFA-D77F-48B9-A007-32BB863D6E6B}"/>
            </a:ext>
          </a:extLst>
        </xdr:cNvPr>
        <xdr:cNvSpPr/>
      </xdr:nvSpPr>
      <xdr:spPr>
        <a:xfrm>
          <a:off x="63122" y="586316"/>
          <a:ext cx="1703766" cy="44041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January</a:t>
          </a:r>
          <a:endParaRPr lang="en-US" sz="1100"/>
        </a:p>
      </xdr:txBody>
    </xdr:sp>
    <xdr:clientData/>
  </xdr:twoCellAnchor>
  <xdr:twoCellAnchor editAs="oneCell">
    <xdr:from>
      <xdr:col>22</xdr:col>
      <xdr:colOff>96764</xdr:colOff>
      <xdr:row>1</xdr:row>
      <xdr:rowOff>84667</xdr:rowOff>
    </xdr:from>
    <xdr:to>
      <xdr:col>23</xdr:col>
      <xdr:colOff>48382</xdr:colOff>
      <xdr:row>2</xdr:row>
      <xdr:rowOff>114904</xdr:rowOff>
    </xdr:to>
    <xdr:pic>
      <xdr:nvPicPr>
        <xdr:cNvPr id="24" name="Graphic 23" descr="Magnifying glass with solid fill">
          <a:extLst>
            <a:ext uri="{FF2B5EF4-FFF2-40B4-BE49-F238E27FC236}">
              <a16:creationId xmlns:a16="http://schemas.microsoft.com/office/drawing/2014/main" id="{EF610B62-AD91-4060-B454-51A066771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 rot="5400000">
          <a:off x="10204754" y="270027"/>
          <a:ext cx="214387" cy="211967"/>
        </a:xfrm>
        <a:prstGeom prst="rect">
          <a:avLst/>
        </a:prstGeom>
      </xdr:spPr>
    </xdr:pic>
    <xdr:clientData/>
  </xdr:twoCellAnchor>
  <xdr:twoCellAnchor>
    <xdr:from>
      <xdr:col>30</xdr:col>
      <xdr:colOff>18141</xdr:colOff>
      <xdr:row>0</xdr:row>
      <xdr:rowOff>66525</xdr:rowOff>
    </xdr:from>
    <xdr:to>
      <xdr:col>32</xdr:col>
      <xdr:colOff>84666</xdr:colOff>
      <xdr:row>2</xdr:row>
      <xdr:rowOff>54429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700A1011-858A-4D37-80FE-A0D75A6FA35F}"/>
            </a:ext>
          </a:extLst>
        </xdr:cNvPr>
        <xdr:cNvSpPr/>
      </xdr:nvSpPr>
      <xdr:spPr>
        <a:xfrm>
          <a:off x="12241891" y="66525"/>
          <a:ext cx="511025" cy="3562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🟢</a:t>
          </a:r>
        </a:p>
      </xdr:txBody>
    </xdr:sp>
    <xdr:clientData/>
  </xdr:twoCellAnchor>
  <xdr:twoCellAnchor>
    <xdr:from>
      <xdr:col>35</xdr:col>
      <xdr:colOff>72574</xdr:colOff>
      <xdr:row>0</xdr:row>
      <xdr:rowOff>84668</xdr:rowOff>
    </xdr:from>
    <xdr:to>
      <xdr:col>38</xdr:col>
      <xdr:colOff>223764</xdr:colOff>
      <xdr:row>2</xdr:row>
      <xdr:rowOff>48382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C41975F1-3B47-41A6-B935-6648A0526E26}"/>
            </a:ext>
          </a:extLst>
        </xdr:cNvPr>
        <xdr:cNvSpPr/>
      </xdr:nvSpPr>
      <xdr:spPr>
        <a:xfrm>
          <a:off x="13579024" y="84668"/>
          <a:ext cx="925890" cy="33201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ABSENT</a:t>
          </a:r>
        </a:p>
      </xdr:txBody>
    </xdr:sp>
    <xdr:clientData/>
  </xdr:twoCellAnchor>
  <xdr:twoCellAnchor>
    <xdr:from>
      <xdr:col>34</xdr:col>
      <xdr:colOff>85877</xdr:colOff>
      <xdr:row>0</xdr:row>
      <xdr:rowOff>61685</xdr:rowOff>
    </xdr:from>
    <xdr:to>
      <xdr:col>35</xdr:col>
      <xdr:colOff>266096</xdr:colOff>
      <xdr:row>2</xdr:row>
      <xdr:rowOff>42333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8985CB0-A1AD-4F24-96F1-E93A4BAE380D}"/>
            </a:ext>
          </a:extLst>
        </xdr:cNvPr>
        <xdr:cNvSpPr/>
      </xdr:nvSpPr>
      <xdr:spPr>
        <a:xfrm>
          <a:off x="13331977" y="61685"/>
          <a:ext cx="440569" cy="34894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US" sz="1100"/>
            <a:t>🔴</a:t>
          </a:r>
        </a:p>
      </xdr:txBody>
    </xdr:sp>
    <xdr:clientData/>
  </xdr:twoCellAnchor>
  <xdr:twoCellAnchor>
    <xdr:from>
      <xdr:col>31</xdr:col>
      <xdr:colOff>181429</xdr:colOff>
      <xdr:row>0</xdr:row>
      <xdr:rowOff>127001</xdr:rowOff>
    </xdr:from>
    <xdr:to>
      <xdr:col>34</xdr:col>
      <xdr:colOff>127000</xdr:colOff>
      <xdr:row>2</xdr:row>
      <xdr:rowOff>24191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9C6157B4-6733-4529-95F8-EB2F5BECF4C1}"/>
            </a:ext>
          </a:extLst>
        </xdr:cNvPr>
        <xdr:cNvSpPr/>
      </xdr:nvSpPr>
      <xdr:spPr>
        <a:xfrm>
          <a:off x="12608379" y="127001"/>
          <a:ext cx="764721" cy="26549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PRESENT</a:t>
          </a:r>
        </a:p>
      </xdr:txBody>
    </xdr:sp>
    <xdr:clientData/>
  </xdr:twoCellAnchor>
  <xdr:twoCellAnchor>
    <xdr:from>
      <xdr:col>40</xdr:col>
      <xdr:colOff>96764</xdr:colOff>
      <xdr:row>0</xdr:row>
      <xdr:rowOff>60477</xdr:rowOff>
    </xdr:from>
    <xdr:to>
      <xdr:col>42</xdr:col>
      <xdr:colOff>42334</xdr:colOff>
      <xdr:row>2</xdr:row>
      <xdr:rowOff>60476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BDE70A7C-5185-4545-BEA7-D3C307731704}"/>
            </a:ext>
          </a:extLst>
        </xdr:cNvPr>
        <xdr:cNvSpPr/>
      </xdr:nvSpPr>
      <xdr:spPr>
        <a:xfrm>
          <a:off x="14924014" y="60477"/>
          <a:ext cx="910770" cy="36829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LEAVE</a:t>
          </a:r>
        </a:p>
      </xdr:txBody>
    </xdr:sp>
    <xdr:clientData/>
  </xdr:twoCellAnchor>
  <xdr:twoCellAnchor>
    <xdr:from>
      <xdr:col>39</xdr:col>
      <xdr:colOff>99180</xdr:colOff>
      <xdr:row>0</xdr:row>
      <xdr:rowOff>50801</xdr:rowOff>
    </xdr:from>
    <xdr:to>
      <xdr:col>40</xdr:col>
      <xdr:colOff>302381</xdr:colOff>
      <xdr:row>2</xdr:row>
      <xdr:rowOff>60477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9C329C0B-9D20-496E-AAB6-A05C5E0B2CBD}"/>
            </a:ext>
          </a:extLst>
        </xdr:cNvPr>
        <xdr:cNvSpPr/>
      </xdr:nvSpPr>
      <xdr:spPr>
        <a:xfrm>
          <a:off x="14634330" y="50801"/>
          <a:ext cx="495301" cy="377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39</xdr:col>
      <xdr:colOff>247954</xdr:colOff>
      <xdr:row>0</xdr:row>
      <xdr:rowOff>60477</xdr:rowOff>
    </xdr:from>
    <xdr:to>
      <xdr:col>41</xdr:col>
      <xdr:colOff>514048</xdr:colOff>
      <xdr:row>2</xdr:row>
      <xdr:rowOff>60476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263F80C5-E2E5-4192-BDDD-0DBEC277546D}"/>
            </a:ext>
          </a:extLst>
        </xdr:cNvPr>
        <xdr:cNvSpPr/>
      </xdr:nvSpPr>
      <xdr:spPr>
        <a:xfrm>
          <a:off x="14783104" y="60477"/>
          <a:ext cx="913794" cy="36829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LEAVE</a:t>
          </a:r>
        </a:p>
      </xdr:txBody>
    </xdr:sp>
    <xdr:clientData/>
  </xdr:twoCellAnchor>
  <xdr:twoCellAnchor>
    <xdr:from>
      <xdr:col>38</xdr:col>
      <xdr:colOff>214085</xdr:colOff>
      <xdr:row>0</xdr:row>
      <xdr:rowOff>50801</xdr:rowOff>
    </xdr:from>
    <xdr:to>
      <xdr:col>40</xdr:col>
      <xdr:colOff>163286</xdr:colOff>
      <xdr:row>2</xdr:row>
      <xdr:rowOff>60477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2E780BFB-758E-4BA7-90BB-5826E398D485}"/>
            </a:ext>
          </a:extLst>
        </xdr:cNvPr>
        <xdr:cNvSpPr/>
      </xdr:nvSpPr>
      <xdr:spPr>
        <a:xfrm>
          <a:off x="14495235" y="50801"/>
          <a:ext cx="495301" cy="377976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2</xdr:col>
      <xdr:colOff>585782</xdr:colOff>
      <xdr:row>0</xdr:row>
      <xdr:rowOff>164354</xdr:rowOff>
    </xdr:from>
    <xdr:to>
      <xdr:col>4</xdr:col>
      <xdr:colOff>563368</xdr:colOff>
      <xdr:row>2</xdr:row>
      <xdr:rowOff>88184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6FC17D0-9325-7284-49F1-AE9B563B60B9}"/>
            </a:ext>
          </a:extLst>
        </xdr:cNvPr>
        <xdr:cNvSpPr/>
      </xdr:nvSpPr>
      <xdr:spPr>
        <a:xfrm>
          <a:off x="1804982" y="164354"/>
          <a:ext cx="1196786" cy="29213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FROM</a:t>
          </a:r>
        </a:p>
      </xdr:txBody>
    </xdr:sp>
    <xdr:clientData/>
  </xdr:twoCellAnchor>
  <xdr:twoCellAnchor>
    <xdr:from>
      <xdr:col>4</xdr:col>
      <xdr:colOff>551414</xdr:colOff>
      <xdr:row>0</xdr:row>
      <xdr:rowOff>167342</xdr:rowOff>
    </xdr:from>
    <xdr:to>
      <xdr:col>6</xdr:col>
      <xdr:colOff>529001</xdr:colOff>
      <xdr:row>2</xdr:row>
      <xdr:rowOff>91172</xdr:rowOff>
    </xdr:to>
    <xdr:sp macro="" textlink="$G$5">
      <xdr:nvSpPr>
        <xdr:cNvPr id="34" name="Rectangle 33">
          <a:extLst>
            <a:ext uri="{FF2B5EF4-FFF2-40B4-BE49-F238E27FC236}">
              <a16:creationId xmlns:a16="http://schemas.microsoft.com/office/drawing/2014/main" id="{3501B9D1-122F-1637-DA13-BB6FDFA73E34}"/>
            </a:ext>
          </a:extLst>
        </xdr:cNvPr>
        <xdr:cNvSpPr/>
      </xdr:nvSpPr>
      <xdr:spPr>
        <a:xfrm>
          <a:off x="2989814" y="167342"/>
          <a:ext cx="1196787" cy="29213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1BAFFE97-76C2-4FA9-8172-754635694528}" type="TxLink">
            <a:rPr lang="en-US" sz="1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ptos Narrow"/>
            </a:rPr>
            <a:pPr algn="ctr"/>
            <a:t>01-Dec-2025</a:t>
          </a:fld>
          <a:endParaRPr lang="en-US" sz="1400"/>
        </a:p>
      </xdr:txBody>
    </xdr:sp>
    <xdr:clientData/>
  </xdr:twoCellAnchor>
  <xdr:twoCellAnchor>
    <xdr:from>
      <xdr:col>1</xdr:col>
      <xdr:colOff>123826</xdr:colOff>
      <xdr:row>34</xdr:row>
      <xdr:rowOff>177423</xdr:rowOff>
    </xdr:from>
    <xdr:to>
      <xdr:col>4</xdr:col>
      <xdr:colOff>1</xdr:colOff>
      <xdr:row>37</xdr:row>
      <xdr:rowOff>87464</xdr:rowOff>
    </xdr:to>
    <xdr:sp macro="" textlink="">
      <xdr:nvSpPr>
        <xdr:cNvPr id="17" name="Rectangle: Rounded Corners 1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7B53742-2B50-54F7-F087-47730FCF8057}"/>
            </a:ext>
          </a:extLst>
        </xdr:cNvPr>
        <xdr:cNvSpPr/>
      </xdr:nvSpPr>
      <xdr:spPr>
        <a:xfrm>
          <a:off x="733426" y="6476623"/>
          <a:ext cx="1704975" cy="462491"/>
        </a:xfrm>
        <a:prstGeom prst="roundRect">
          <a:avLst/>
        </a:prstGeom>
        <a:solidFill>
          <a:schemeClr val="bg2"/>
        </a:solidFill>
        <a:ln>
          <a:noFill/>
        </a:ln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solidFill>
                <a:sysClr val="windowText" lastClr="000000"/>
              </a:solidFill>
            </a:rPr>
            <a:t>December</a:t>
          </a:r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99496B-36B8-4325-8C02-C7C2BEFD17C3}" name="Table1" displayName="Table1" ref="AR7:BE27" headerRowDxfId="269">
  <autoFilter ref="AR7:BE27" xr:uid="{0399496B-36B8-4325-8C02-C7C2BEFD17C3}"/>
  <tableColumns count="14">
    <tableColumn id="1" xr3:uid="{2DBB0D32-D7E2-4B2F-B0A9-C38FBF9DF0AC}" name="S No" totalsRowLabel="Total" dataDxfId="268" totalsRowDxfId="267"/>
    <tableColumn id="2" xr3:uid="{9529E237-C9C2-4BE7-93E2-2670E1ACE14D}" name="Name" dataDxfId="266" totalsRowDxfId="265"/>
    <tableColumn id="14" xr3:uid="{4D94A5C0-2395-4520-8078-834FF8A07D14}" name="Month" dataDxfId="264" totalsRowDxfId="263"/>
    <tableColumn id="3" xr3:uid="{B4412B89-27F5-4BEC-A096-B7F04ED81AE9}" name="Employe Id" dataDxfId="262" totalsRowDxfId="261"/>
    <tableColumn id="4" xr3:uid="{C1CD1734-2C77-4FE1-82CC-ED8EBC758DA3}" name="Present" dataDxfId="260">
      <calculatedColumnFormula>COUNTIF($K8:$AO8,"P")</calculatedColumnFormula>
    </tableColumn>
    <tableColumn id="5" xr3:uid="{23F423F6-A30A-43C3-A8DF-5A8AB61AE982}" name="Absent" dataDxfId="259">
      <calculatedColumnFormula>COUNTIF($K8:$AO8,"A")</calculatedColumnFormula>
    </tableColumn>
    <tableColumn id="6" xr3:uid="{ACF877F8-C642-4E7F-93A5-5BA4C6E88DD8}" name="Leave" dataDxfId="258">
      <calculatedColumnFormula>COUNTIF($K8:$AO8,"L")</calculatedColumnFormula>
    </tableColumn>
    <tableColumn id="7" xr3:uid="{BFD442D3-E284-4D4F-801E-77C6AD36C237}" name="Week off" dataDxfId="257">
      <calculatedColumnFormula>COUNTIF($K8:$AO8,"WO")</calculatedColumnFormula>
    </tableColumn>
    <tableColumn id="8" xr3:uid="{2C9822F5-D6BC-4952-A2BE-56EEE4129187}" name="Days" dataDxfId="256">
      <calculatedColumnFormula>($M$5-$H$5)+1</calculatedColumnFormula>
    </tableColumn>
    <tableColumn id="9" xr3:uid="{A59ED280-51E5-4EBD-916B-7E0EA130048C}" name="Paid Days" dataDxfId="255">
      <calculatedColumnFormula>Table1[[#This Row],[Days]]-Table1[[#This Row],[Absent]]</calculatedColumnFormula>
    </tableColumn>
    <tableColumn id="10" xr3:uid="{65C1E3D3-F9DE-456A-8323-4FE1E579CAAB}" name="Salary"/>
    <tableColumn id="11" xr3:uid="{13E2CB6B-FA98-404E-A1CF-ECDAEADE222C}" name="Per Day Salary" dataDxfId="254">
      <calculatedColumnFormula>Table1[[#This Row],[Salary]]/Table1[[#This Row],[Days]]</calculatedColumnFormula>
    </tableColumn>
    <tableColumn id="12" xr3:uid="{ED241CC3-92F4-4BC8-A326-1393A7D91EF0}" name="Deduction " dataDxfId="253">
      <calculatedColumnFormula>Table1[[#This Row],[Per Day Salary]]*Table1[[#This Row],[Absent]]</calculatedColumnFormula>
    </tableColumn>
    <tableColumn id="13" xr3:uid="{24DDE365-61E2-479F-AAB6-A8F6EAE388D1}" name="Total Salary" totalsRowFunction="count" dataDxfId="252">
      <calculatedColumnFormula>Table1[[#This Row],[Salary]]-Table1[[#This Row],[Deduction ]]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7458AE-43C7-4D97-907A-2D3E4C6F7595}" name="Table13" displayName="Table13" ref="AR7:BE27" headerRowDxfId="251">
  <autoFilter ref="AR7:BE27" xr:uid="{077458AE-43C7-4D97-907A-2D3E4C6F7595}"/>
  <tableColumns count="14">
    <tableColumn id="1" xr3:uid="{5222757B-BB3F-4696-9F22-EE01B8EBFE7C}" name="S No" totalsRowLabel="Total" dataDxfId="250" totalsRowDxfId="249"/>
    <tableColumn id="2" xr3:uid="{2E53BBB4-815E-4E5D-874D-1441ACBE6EB2}" name="Name" dataDxfId="248" totalsRowDxfId="247"/>
    <tableColumn id="14" xr3:uid="{5F6258FC-5E7C-47C6-BEB1-31B6105C7E28}" name="Month" dataDxfId="246" totalsRowDxfId="245"/>
    <tableColumn id="3" xr3:uid="{FFBC3ED5-8C22-4005-A946-0829849329C1}" name="Employe Id" dataDxfId="244" totalsRowDxfId="243"/>
    <tableColumn id="4" xr3:uid="{931E4668-804E-40DD-8341-4089CB3DEA86}" name="Present" dataDxfId="242">
      <calculatedColumnFormula>COUNTIF($K8:$AO8,"P")</calculatedColumnFormula>
    </tableColumn>
    <tableColumn id="5" xr3:uid="{7C456C86-6C89-4E20-B87E-2BBA7ED479CF}" name="Absent" dataDxfId="241">
      <calculatedColumnFormula>COUNTIF($K8:$AO8,"A")</calculatedColumnFormula>
    </tableColumn>
    <tableColumn id="6" xr3:uid="{84346686-AF4B-44A6-92EB-F53148DF9B2F}" name="Leave" dataDxfId="240">
      <calculatedColumnFormula>COUNTIF($K8:$AO8,"L")</calculatedColumnFormula>
    </tableColumn>
    <tableColumn id="7" xr3:uid="{0A5B5AC9-DEBE-4479-8A4D-C678ABF31ABC}" name="Week off" dataDxfId="239">
      <calculatedColumnFormula>COUNTIF($K8:$AO8,"WO")</calculatedColumnFormula>
    </tableColumn>
    <tableColumn id="8" xr3:uid="{F0136125-E9D8-4FD0-8E45-93FD951599A5}" name="Days" dataDxfId="238">
      <calculatedColumnFormula>($M$5-$H$5)+1</calculatedColumnFormula>
    </tableColumn>
    <tableColumn id="9" xr3:uid="{EB6AE5C7-0027-46E7-8E5F-5C105D57103B}" name="Paid Days" dataDxfId="237">
      <calculatedColumnFormula>Table13[[#This Row],[Days]]-Table13[[#This Row],[Absent]]</calculatedColumnFormula>
    </tableColumn>
    <tableColumn id="10" xr3:uid="{CB0BEC16-B372-4206-B10B-700D9288D8FE}" name="Salary" dataDxfId="236"/>
    <tableColumn id="11" xr3:uid="{52A91F71-5F57-452B-A69D-77A756F697A8}" name="Per Day Salary" dataDxfId="235">
      <calculatedColumnFormula>Table13[[#This Row],[Salary]]/Table13[[#This Row],[Days]]</calculatedColumnFormula>
    </tableColumn>
    <tableColumn id="12" xr3:uid="{B8F2F28E-BFDF-47A8-BB20-82BB426BD9E6}" name="Deduction " dataDxfId="234">
      <calculatedColumnFormula>Table13[[#This Row],[Per Day Salary]]*Table13[[#This Row],[Absent]]</calculatedColumnFormula>
    </tableColumn>
    <tableColumn id="13" xr3:uid="{C669AC40-31BE-4062-BBB8-026CC5BD23B1}" name="Total Salary" totalsRowFunction="count" dataDxfId="233">
      <calculatedColumnFormula>Table13[[#This Row],[Salary]]-Table13[[#This Row],[Deduction ]]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BBD9C0-57BE-4DBA-9BF9-03FA472B5BF2}" name="Table134" displayName="Table134" ref="AR7:BE27" headerRowDxfId="232">
  <autoFilter ref="AR7:BE27" xr:uid="{33BBD9C0-57BE-4DBA-9BF9-03FA472B5BF2}"/>
  <tableColumns count="14">
    <tableColumn id="1" xr3:uid="{7F33F018-9BD2-48B0-8A68-1717EF7AD4CF}" name="S No" totalsRowLabel="Total" dataDxfId="231" totalsRowDxfId="230"/>
    <tableColumn id="2" xr3:uid="{6CD41B46-A9AE-41CA-840B-4DCD0183EA4D}" name="Name" dataDxfId="229" totalsRowDxfId="228"/>
    <tableColumn id="14" xr3:uid="{BF3EBF9D-7601-40C8-9B21-F37E944563AF}" name="Month" dataDxfId="227" totalsRowDxfId="226"/>
    <tableColumn id="3" xr3:uid="{DAD14ADD-BC67-4696-82D3-37753DE9EE86}" name="Employe Id" dataDxfId="225" totalsRowDxfId="224"/>
    <tableColumn id="4" xr3:uid="{2387B940-94D2-491E-B102-D7A9D43B08C5}" name="Present" dataDxfId="223">
      <calculatedColumnFormula>COUNTIF($K8:$AO8,"P")</calculatedColumnFormula>
    </tableColumn>
    <tableColumn id="5" xr3:uid="{F46DFFD4-D793-4B6B-8C50-325AA4B4E563}" name="Absent" dataDxfId="222">
      <calculatedColumnFormula>COUNTIF($K8:$AO8,"A")</calculatedColumnFormula>
    </tableColumn>
    <tableColumn id="6" xr3:uid="{B11532FC-A55E-4EE1-9F1B-35DCADD54E74}" name="Leave" dataDxfId="221">
      <calculatedColumnFormula>COUNTIF($K8:$AO8,"L")</calculatedColumnFormula>
    </tableColumn>
    <tableColumn id="7" xr3:uid="{131CB601-1489-467E-81E3-1732175B4264}" name="Week off" dataDxfId="220">
      <calculatedColumnFormula>COUNTIF($K8:$AO8,"WO")</calculatedColumnFormula>
    </tableColumn>
    <tableColumn id="8" xr3:uid="{3D96E141-774C-4280-9765-0F2E6B0F5A3D}" name="Days" dataDxfId="219">
      <calculatedColumnFormula>($M$5-$H$5)+1</calculatedColumnFormula>
    </tableColumn>
    <tableColumn id="9" xr3:uid="{2A728033-8A3A-4CE3-BD59-D33805D3707A}" name="Paid Days" dataDxfId="218">
      <calculatedColumnFormula>Table134[[#This Row],[Days]]-Table134[[#This Row],[Absent]]</calculatedColumnFormula>
    </tableColumn>
    <tableColumn id="10" xr3:uid="{08F92DBE-B62D-4CB0-B73B-23A752732E6A}" name="Salary"/>
    <tableColumn id="11" xr3:uid="{DC1EACEA-3402-4392-9ECE-ADFF716E8BD6}" name="Per Day Salary" dataDxfId="217">
      <calculatedColumnFormula>Table134[[#This Row],[Salary]]/Table134[[#This Row],[Days]]</calculatedColumnFormula>
    </tableColumn>
    <tableColumn id="12" xr3:uid="{B4F4B4F2-99F2-42D7-9CA9-98647CBB6A82}" name="Deduction " dataDxfId="216">
      <calculatedColumnFormula>Table134[[#This Row],[Per Day Salary]]*Table134[[#This Row],[Absent]]</calculatedColumnFormula>
    </tableColumn>
    <tableColumn id="13" xr3:uid="{5CB5D4E7-3FC1-46A8-A736-8CF93129465A}" name="Total Salary" totalsRowFunction="count" dataDxfId="215">
      <calculatedColumnFormula>Table134[[#This Row],[Salary]]-Table134[[#This Row],[Deduction ]]</calculatedColumnFormula>
    </tableColumn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BAE0E7-88A9-49B9-BBA3-FD4996FD15A1}" name="Table135" displayName="Table135" ref="AR7:BE28" totalsRowCount="1" headerRowDxfId="214">
  <autoFilter ref="AR7:BE27" xr:uid="{7CBAE0E7-88A9-49B9-BBA3-FD4996FD15A1}"/>
  <tableColumns count="14">
    <tableColumn id="1" xr3:uid="{D37990A7-3117-42E7-93BC-59A3596E41CD}" name="S No" totalsRowLabel="Total" dataDxfId="213" totalsRowDxfId="212"/>
    <tableColumn id="2" xr3:uid="{2D9390E9-E6F2-4905-BFFE-05BC36F64820}" name="Name" dataDxfId="211" totalsRowDxfId="210"/>
    <tableColumn id="14" xr3:uid="{E9C17F58-4E6C-401B-AF5F-DB40FED41B91}" name="Month" dataDxfId="209" totalsRowDxfId="208"/>
    <tableColumn id="3" xr3:uid="{3363329D-BB9C-4C09-89ED-3FC5BAABEF13}" name="Employe Id" dataDxfId="207" totalsRowDxfId="206"/>
    <tableColumn id="4" xr3:uid="{28DCAA8E-060D-4564-8F0C-55426D504093}" name="Present" dataDxfId="205" totalsRowDxfId="204">
      <calculatedColumnFormula>COUNTIF($K8:$AO8,"P")</calculatedColumnFormula>
    </tableColumn>
    <tableColumn id="5" xr3:uid="{327FCAB1-28E2-4A9D-A0B6-0853783B853D}" name="Absent" totalsRowFunction="custom" dataDxfId="203" totalsRowDxfId="202">
      <calculatedColumnFormula>COUNTIF($K8:$AO8,"A")</calculatedColumnFormula>
      <totalsRowFormula>SUM(Table135[Absent])</totalsRowFormula>
    </tableColumn>
    <tableColumn id="6" xr3:uid="{B0E105BF-040B-4F6E-B6EF-0EAE437D92BD}" name="Leave" dataDxfId="201" totalsRowDxfId="200">
      <calculatedColumnFormula>COUNTIF($K8:$AO8,"L")</calculatedColumnFormula>
    </tableColumn>
    <tableColumn id="7" xr3:uid="{479CBF58-2A6E-4820-AA6B-6988DE08D5DA}" name="Week off" dataDxfId="199" totalsRowDxfId="198">
      <calculatedColumnFormula>COUNTIF($K8:$AO8,"WO")</calculatedColumnFormula>
    </tableColumn>
    <tableColumn id="8" xr3:uid="{EE0E8AE0-ECDD-4870-8388-03B5FA976D91}" name="Days" dataDxfId="197" totalsRowDxfId="196">
      <calculatedColumnFormula>($M$5-$H$5)+1</calculatedColumnFormula>
    </tableColumn>
    <tableColumn id="9" xr3:uid="{836F90C2-E2BA-4C8F-8605-6F4965D6FF2D}" name="Paid Days" dataDxfId="195" totalsRowDxfId="194">
      <calculatedColumnFormula>Table135[[#This Row],[Days]]-Table135[[#This Row],[Absent]]</calculatedColumnFormula>
    </tableColumn>
    <tableColumn id="10" xr3:uid="{30918CA3-DABE-4439-95B9-F476998100F1}" name="Salary" totalsRowDxfId="193"/>
    <tableColumn id="11" xr3:uid="{304D8B69-0882-4C9E-A186-E13EBF835900}" name="Per Day Salary" dataDxfId="192" totalsRowDxfId="191">
      <calculatedColumnFormula>Table135[[#This Row],[Salary]]/Table135[[#This Row],[Days]]</calculatedColumnFormula>
    </tableColumn>
    <tableColumn id="12" xr3:uid="{ECD72062-1FAB-4C16-8BA8-A56682F41BF0}" name="Deduction " dataDxfId="190" totalsRowDxfId="189">
      <calculatedColumnFormula>Table135[[#This Row],[Per Day Salary]]*Table135[[#This Row],[Absent]]</calculatedColumnFormula>
    </tableColumn>
    <tableColumn id="13" xr3:uid="{8092DFDB-5E88-45E7-8572-9C8ACCF4E910}" name="Total Salary" totalsRowFunction="count" dataDxfId="188" totalsRowDxfId="187">
      <calculatedColumnFormula>Table135[[#This Row],[Salary]]-Table135[[#This Row],[Deduction ]]</calculatedColumnFormula>
    </tableColumn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C9E08BA-E83D-4232-905E-CC915B6000BE}" name="Table136" displayName="Table136" ref="AR7:BE27" headerRowDxfId="287">
  <autoFilter ref="AR7:BE27" xr:uid="{0C9E08BA-E83D-4232-905E-CC915B6000BE}"/>
  <tableColumns count="14">
    <tableColumn id="1" xr3:uid="{F1EE6754-2C57-40AD-8879-2B183BDF9037}" name="S No" totalsRowLabel="Total" dataDxfId="286" totalsRowDxfId="285"/>
    <tableColumn id="2" xr3:uid="{06294456-F5D8-4091-AD10-0516C145BC37}" name="Name" dataDxfId="284" totalsRowDxfId="283"/>
    <tableColumn id="14" xr3:uid="{C5E711FF-1899-4431-9CD9-89405C27F91B}" name="Month" dataDxfId="282" totalsRowDxfId="281"/>
    <tableColumn id="3" xr3:uid="{80DDACB4-BB8B-493D-AA65-534AC6A642C1}" name="Employe Id" dataDxfId="280" totalsRowDxfId="279"/>
    <tableColumn id="4" xr3:uid="{F76E30DE-91A1-4822-85ED-F77FF40F30BD}" name="Present" dataDxfId="278">
      <calculatedColumnFormula>COUNTIF($K8:$AO8,"P")</calculatedColumnFormula>
    </tableColumn>
    <tableColumn id="5" xr3:uid="{199D09DB-247D-468E-B437-DC522DD0B562}" name="Absent" dataDxfId="277">
      <calculatedColumnFormula>COUNTIF($K8:$AO8,"A")</calculatedColumnFormula>
    </tableColumn>
    <tableColumn id="6" xr3:uid="{16B2E3D3-67DA-4A91-B0D2-DFB64B30CAB2}" name="Leave" dataDxfId="276">
      <calculatedColumnFormula>COUNTIF($K8:$AO8,"L")</calculatedColumnFormula>
    </tableColumn>
    <tableColumn id="7" xr3:uid="{D7CBBED5-8437-487A-81EA-8A8109ABD777}" name="Week off" dataDxfId="275">
      <calculatedColumnFormula>COUNTIF($K8:$AO8,"WO")</calculatedColumnFormula>
    </tableColumn>
    <tableColumn id="8" xr3:uid="{0DBD8747-E417-4CB3-B0D4-444FEC6A7CAA}" name="Days" dataDxfId="274">
      <calculatedColumnFormula>($M$5-$H$5)+1</calculatedColumnFormula>
    </tableColumn>
    <tableColumn id="9" xr3:uid="{E3E7A27B-48AC-4489-AE37-7DADDF2364AA}" name="Paid Days" dataDxfId="273">
      <calculatedColumnFormula>Table136[[#This Row],[Days]]-Table136[[#This Row],[Absent]]</calculatedColumnFormula>
    </tableColumn>
    <tableColumn id="10" xr3:uid="{AB165B46-8C0B-4A3A-87B5-350650D3FC33}" name="Salary"/>
    <tableColumn id="11" xr3:uid="{609D74DA-D3D4-4EB4-B34D-B90EDE83F58A}" name="Per Day Salary" dataDxfId="272">
      <calculatedColumnFormula>Table136[[#This Row],[Salary]]/Table136[[#This Row],[Days]]</calculatedColumnFormula>
    </tableColumn>
    <tableColumn id="12" xr3:uid="{F71E19A3-5C41-4392-A08D-978B67A7A870}" name="Deduction " dataDxfId="271">
      <calculatedColumnFormula>Table136[[#This Row],[Per Day Salary]]*Table136[[#This Row],[Absent]]</calculatedColumnFormula>
    </tableColumn>
    <tableColumn id="13" xr3:uid="{3EA3A4F1-7CBB-4F10-9A4A-AD3613162CD8}" name="Total Salary" totalsRowFunction="count" dataDxfId="270">
      <calculatedColumnFormula>Table136[[#This Row],[Salary]]-Table136[[#This Row],[Deduction ]]</calculatedColumnFormula>
    </tableColumn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A089B3-B4A1-4827-8D4A-F5F2440BB082}" name="Table137" displayName="Table137" ref="AR7:BE27" headerRowDxfId="186">
  <autoFilter ref="AR7:BE27" xr:uid="{A6A089B3-B4A1-4827-8D4A-F5F2440BB082}"/>
  <tableColumns count="14">
    <tableColumn id="1" xr3:uid="{DEF459AC-0193-4B90-A410-0AD86AF83709}" name="S No" totalsRowLabel="Total" dataDxfId="185" totalsRowDxfId="184"/>
    <tableColumn id="2" xr3:uid="{160BE435-B93F-4252-9E05-6E2604A8C12D}" name="Name" dataDxfId="183" totalsRowDxfId="182"/>
    <tableColumn id="14" xr3:uid="{676CF705-855D-4160-9056-1036A449957E}" name="Month" dataDxfId="181" totalsRowDxfId="180"/>
    <tableColumn id="3" xr3:uid="{DE366751-9E2A-4649-96D7-A78133C49973}" name="Employe Id" dataDxfId="179" totalsRowDxfId="178"/>
    <tableColumn id="4" xr3:uid="{A2FC1029-565C-439F-A198-12CC8257F02B}" name="Present" dataDxfId="177">
      <calculatedColumnFormula>COUNTIF($K8:$AO8,"P")</calculatedColumnFormula>
    </tableColumn>
    <tableColumn id="5" xr3:uid="{D4460B17-BFB2-42F7-B220-78B108CCD61E}" name="Absent" dataDxfId="176">
      <calculatedColumnFormula>COUNTIF($K8:$AO8,"A")</calculatedColumnFormula>
    </tableColumn>
    <tableColumn id="6" xr3:uid="{B40C3FF0-A026-41A2-843B-448A40A8A3FE}" name="Leave" dataDxfId="175">
      <calculatedColumnFormula>COUNTIF($K8:$AO8,"L")</calculatedColumnFormula>
    </tableColumn>
    <tableColumn id="7" xr3:uid="{627C920F-3F4D-45AC-B0E3-86284D9A3A37}" name="Week off" dataDxfId="174">
      <calculatedColumnFormula>COUNTIF($K8:$AO8,"WO")</calculatedColumnFormula>
    </tableColumn>
    <tableColumn id="8" xr3:uid="{0B8949F0-FF65-4A50-8AD3-74946C86D386}" name="Days" dataDxfId="173">
      <calculatedColumnFormula>($M$5-$H$5)+1</calculatedColumnFormula>
    </tableColumn>
    <tableColumn id="9" xr3:uid="{4DB25029-9FF7-466D-8978-26ACF3D32E5A}" name="Paid Days" dataDxfId="172">
      <calculatedColumnFormula>Table137[[#This Row],[Days]]-Table137[[#This Row],[Absent]]</calculatedColumnFormula>
    </tableColumn>
    <tableColumn id="10" xr3:uid="{D96B93A0-9AFE-4087-A90F-7F096FEE7660}" name="Salary"/>
    <tableColumn id="11" xr3:uid="{6944C2B4-C8B6-4B20-9339-FCC1D9ACC9D0}" name="Per Day Salary" dataDxfId="171">
      <calculatedColumnFormula>Table137[[#This Row],[Salary]]/Table137[[#This Row],[Days]]</calculatedColumnFormula>
    </tableColumn>
    <tableColumn id="12" xr3:uid="{0472EEA3-9670-4AA2-9BAC-53B170AF0051}" name="Deduction " dataDxfId="170">
      <calculatedColumnFormula>Table137[[#This Row],[Per Day Salary]]*Table137[[#This Row],[Absent]]</calculatedColumnFormula>
    </tableColumn>
    <tableColumn id="13" xr3:uid="{B9B00E5E-BB25-4CF7-87C4-6C3C477EFB78}" name="Total Salary" totalsRowFunction="count" dataDxfId="169">
      <calculatedColumnFormula>Table137[[#This Row],[Salary]]-Table137[[#This Row],[Deduction ]]</calculatedColumnFormula>
    </tableColumn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DC9AFA2-9196-4243-A741-07C7BB2BAFE8}" name="Table138" displayName="Table138" ref="AR7:BE27" headerRowDxfId="168">
  <autoFilter ref="AR7:BE27" xr:uid="{4DC9AFA2-9196-4243-A741-07C7BB2BAFE8}"/>
  <tableColumns count="14">
    <tableColumn id="1" xr3:uid="{5861E5A5-98C9-45AA-96D0-E27284CD819C}" name="S No" totalsRowLabel="Total" dataDxfId="167" totalsRowDxfId="166"/>
    <tableColumn id="2" xr3:uid="{46ADEA91-1112-48A7-B701-3D0022AEBB03}" name="Name" dataDxfId="165" totalsRowDxfId="164"/>
    <tableColumn id="14" xr3:uid="{6F0BB1BF-2559-4346-B440-1CEA44888A4C}" name="Month" dataDxfId="163" totalsRowDxfId="162"/>
    <tableColumn id="3" xr3:uid="{DE9F5777-5853-4E03-8795-201358B1D72D}" name="Employe Id" dataDxfId="161" totalsRowDxfId="160"/>
    <tableColumn id="4" xr3:uid="{69170B71-04E6-4DD2-A210-A3D00277FED7}" name="Present" dataDxfId="159">
      <calculatedColumnFormula>COUNTIF($K8:$AO8,"P")</calculatedColumnFormula>
    </tableColumn>
    <tableColumn id="5" xr3:uid="{27A07C3D-AE8A-4784-9C8C-7627CE3F46D7}" name="Absent" dataDxfId="158">
      <calculatedColumnFormula>COUNTIF($K8:$AO8,"A")</calculatedColumnFormula>
    </tableColumn>
    <tableColumn id="6" xr3:uid="{97675DC3-DD0A-4643-80EA-CEFDD84A13F9}" name="Leave" dataDxfId="157">
      <calculatedColumnFormula>COUNTIF($K8:$AO8,"L")</calculatedColumnFormula>
    </tableColumn>
    <tableColumn id="7" xr3:uid="{91BE1673-042F-4520-BFC9-289B5A9D09CC}" name="Week off" dataDxfId="156">
      <calculatedColumnFormula>COUNTIF($K8:$AO8,"WO")</calculatedColumnFormula>
    </tableColumn>
    <tableColumn id="8" xr3:uid="{028B63B0-8463-470D-9F7B-0E728962D83F}" name="Days" dataDxfId="155">
      <calculatedColumnFormula>($M$5-$H$5)+1</calculatedColumnFormula>
    </tableColumn>
    <tableColumn id="9" xr3:uid="{E44C69BB-A8CD-4C5C-8044-6E596E297F72}" name="Paid Days" dataDxfId="154">
      <calculatedColumnFormula>Table138[[#This Row],[Days]]-Table138[[#This Row],[Absent]]</calculatedColumnFormula>
    </tableColumn>
    <tableColumn id="10" xr3:uid="{6B7B4102-FE7D-4224-A1FE-005A5ECD076D}" name="Salary"/>
    <tableColumn id="11" xr3:uid="{92F44E71-9249-4F12-A26D-1070B024107B}" name="Per Day Salary" dataDxfId="153">
      <calculatedColumnFormula>Table138[[#This Row],[Salary]]/Table138[[#This Row],[Days]]</calculatedColumnFormula>
    </tableColumn>
    <tableColumn id="12" xr3:uid="{534EF17D-A340-453B-82A8-0E05E00B642A}" name="Deduction " dataDxfId="152">
      <calculatedColumnFormula>Table138[[#This Row],[Per Day Salary]]*Table138[[#This Row],[Absent]]</calculatedColumnFormula>
    </tableColumn>
    <tableColumn id="13" xr3:uid="{9BB84F27-2571-4986-BD59-306A17DF1FCB}" name="Total Salary" totalsRowFunction="count" dataDxfId="151">
      <calculatedColumnFormula>Table138[[#This Row],[Salary]]-Table138[[#This Row],[Deduction ]]</calculatedColumnFormula>
    </tableColumn>
  </tableColumns>
  <tableStyleInfo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CE73C6C-6071-4DC9-A02F-6000D8866A26}" name="Table139" displayName="Table139" ref="AR7:BE33" headerRowDxfId="150">
  <autoFilter ref="AR7:BE33" xr:uid="{BCE73C6C-6071-4DC9-A02F-6000D8866A26}"/>
  <tableColumns count="14">
    <tableColumn id="1" xr3:uid="{0C1070E2-0433-4A19-8BBF-A7D569012AF5}" name="S No" totalsRowLabel="Total" dataDxfId="149" totalsRowDxfId="148"/>
    <tableColumn id="2" xr3:uid="{A3D72C21-1B33-4930-A30A-DE83D4DC3F94}" name="Name" dataDxfId="147" totalsRowDxfId="146"/>
    <tableColumn id="14" xr3:uid="{0AAAB68A-38C3-4431-8DB9-7EB497813191}" name="Month" dataDxfId="145" totalsRowDxfId="144"/>
    <tableColumn id="3" xr3:uid="{8BA4791C-8877-4F2D-8699-361F5A249FB4}" name="Employe Id" dataDxfId="143" totalsRowDxfId="142"/>
    <tableColumn id="4" xr3:uid="{43F4FD17-9EC6-4407-8952-7F7D8DD8217A}" name="Present" dataDxfId="141">
      <calculatedColumnFormula>COUNTIF($K8:$AO8,"P")</calculatedColumnFormula>
    </tableColumn>
    <tableColumn id="5" xr3:uid="{6061CF8B-B594-4CEE-9725-E52B5B9BEA17}" name="Absent" dataDxfId="140">
      <calculatedColumnFormula>COUNTIF($K8:$AO8,"A")</calculatedColumnFormula>
    </tableColumn>
    <tableColumn id="6" xr3:uid="{B3CD12DD-24A1-4F36-A2A8-340A98FB047D}" name="Leave" dataDxfId="139">
      <calculatedColumnFormula>COUNTIF($K8:$AO8,"L")</calculatedColumnFormula>
    </tableColumn>
    <tableColumn id="7" xr3:uid="{A287624A-5F64-48B2-B761-5CEC8161023C}" name="Week off" dataDxfId="138">
      <calculatedColumnFormula>COUNTIF($K8:$AO8,"WO")</calculatedColumnFormula>
    </tableColumn>
    <tableColumn id="8" xr3:uid="{E1173574-D53C-4332-B368-80B3F5A06025}" name="Days" dataDxfId="137">
      <calculatedColumnFormula>($M$5-$H$5)+1</calculatedColumnFormula>
    </tableColumn>
    <tableColumn id="9" xr3:uid="{5E12E43C-9186-4F77-B7D8-10E3A88801F8}" name="Paid Days" dataDxfId="136">
      <calculatedColumnFormula>Table139[[#This Row],[Days]]-Table139[[#This Row],[Absent]]</calculatedColumnFormula>
    </tableColumn>
    <tableColumn id="10" xr3:uid="{56706EA7-8671-4C95-9DF5-2A2B00569619}" name="Salary"/>
    <tableColumn id="11" xr3:uid="{7ECD5FA5-08F1-4E7A-903E-86803244CBFB}" name="Per Day Salary" dataDxfId="135">
      <calculatedColumnFormula>Table139[[#This Row],[Salary]]/Table139[[#This Row],[Days]]</calculatedColumnFormula>
    </tableColumn>
    <tableColumn id="12" xr3:uid="{6DC07D05-387E-47FD-A758-75F85519EC88}" name="Deduction " dataDxfId="134">
      <calculatedColumnFormula>Table139[[#This Row],[Per Day Salary]]*Table139[[#This Row],[Absent]]</calculatedColumnFormula>
    </tableColumn>
    <tableColumn id="13" xr3:uid="{D4329597-6C47-4F3F-81C2-11304BDD8B86}" name="Total Salary" totalsRowFunction="count" dataDxfId="133">
      <calculatedColumnFormula>Table139[[#This Row],[Salary]]-Table139[[#This Row],[Deduction ]]</calculatedColumnFormula>
    </tableColumn>
  </tableColumns>
  <tableStyleInfo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A1F029C-D464-420B-874C-E65546EF8C54}" name="Table1311" displayName="Table1311" ref="AR7:BE27" headerRowDxfId="132">
  <autoFilter ref="AR7:BE27" xr:uid="{5A1F029C-D464-420B-874C-E65546EF8C54}"/>
  <tableColumns count="14">
    <tableColumn id="1" xr3:uid="{6BD24AD8-BB1C-4FB3-9448-F0907FEC9AA7}" name="S No" totalsRowLabel="Total" dataDxfId="131" totalsRowDxfId="130"/>
    <tableColumn id="2" xr3:uid="{317FD7E4-6377-4C73-A7A2-50F41B82CC24}" name="Name" dataDxfId="129" totalsRowDxfId="128"/>
    <tableColumn id="14" xr3:uid="{9679AA31-9546-4E1C-BE93-6E412A8366A7}" name="Month" dataDxfId="127" totalsRowDxfId="126"/>
    <tableColumn id="3" xr3:uid="{286076B1-D298-45F6-A6D1-E39183D9F3DF}" name="Employe Id" dataDxfId="125" totalsRowDxfId="124"/>
    <tableColumn id="4" xr3:uid="{1A62FB25-E6D9-4A3C-85C1-5CF4B7065857}" name="Present" dataDxfId="123">
      <calculatedColumnFormula>COUNTIF($K8:$AO8,"P")</calculatedColumnFormula>
    </tableColumn>
    <tableColumn id="5" xr3:uid="{F1685179-2BF4-4304-AE6A-1543E66C8932}" name="Absent" dataDxfId="122">
      <calculatedColumnFormula>COUNTIF($K8:$AO8,"A")</calculatedColumnFormula>
    </tableColumn>
    <tableColumn id="6" xr3:uid="{D98E031B-8986-41BA-90A5-2F5037B839CF}" name="Leave" dataDxfId="121">
      <calculatedColumnFormula>COUNTIF($K8:$AO8,"L")</calculatedColumnFormula>
    </tableColumn>
    <tableColumn id="7" xr3:uid="{205DE23E-659B-46B9-B0BD-B87F6E037F75}" name="Week off" dataDxfId="120">
      <calculatedColumnFormula>COUNTIF($K8:$AO8,"WO")</calculatedColumnFormula>
    </tableColumn>
    <tableColumn id="8" xr3:uid="{0B45C016-CCD4-4060-A884-05DAA6096786}" name="Days" dataDxfId="119">
      <calculatedColumnFormula>($M$5-$H$5)+1</calculatedColumnFormula>
    </tableColumn>
    <tableColumn id="9" xr3:uid="{284ECED8-2D3E-4C41-9A8F-08300E513C17}" name="Paid Days" dataDxfId="118">
      <calculatedColumnFormula>Table1311[[#This Row],[Days]]-Table1311[[#This Row],[Absent]]</calculatedColumnFormula>
    </tableColumn>
    <tableColumn id="10" xr3:uid="{95C19BE2-C84C-46FC-844D-FE5728152622}" name="Salary"/>
    <tableColumn id="11" xr3:uid="{642B8C5C-C499-43D4-BBCE-80914B1232ED}" name="Per Day Salary" dataDxfId="117">
      <calculatedColumnFormula>Table1311[[#This Row],[Salary]]/Table1311[[#This Row],[Days]]</calculatedColumnFormula>
    </tableColumn>
    <tableColumn id="12" xr3:uid="{2A7BC010-EDB7-4C22-9B51-4B4B9ED4C8F8}" name="Deduction " dataDxfId="116">
      <calculatedColumnFormula>Table1311[[#This Row],[Per Day Salary]]*Table1311[[#This Row],[Absent]]</calculatedColumnFormula>
    </tableColumn>
    <tableColumn id="13" xr3:uid="{7F398C3F-F076-4403-AB62-77760BEDDDCD}" name="Total Salary" totalsRowFunction="count" dataDxfId="115">
      <calculatedColumnFormula>Table1311[[#This Row],[Salary]]-Table1311[[#This Row],[Deduction ]]</calculatedColumnFormula>
    </tableColumn>
  </tableColumns>
  <tableStyleInfo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FA9A627-4763-4BBB-8657-D2A214CA24BB}" name="Table1310" displayName="Table1310" ref="AR7:BE27" headerRowDxfId="114">
  <autoFilter ref="AR7:BE27" xr:uid="{EFA9A627-4763-4BBB-8657-D2A214CA24BB}"/>
  <tableColumns count="14">
    <tableColumn id="1" xr3:uid="{1BAF9864-99FD-4DA5-B1A2-AFF794233F74}" name="S No" totalsRowLabel="Total" dataDxfId="113" totalsRowDxfId="112"/>
    <tableColumn id="2" xr3:uid="{1E68747D-AEDA-4ACA-99EF-41DF73409C6E}" name="Name" dataDxfId="111" totalsRowDxfId="110"/>
    <tableColumn id="14" xr3:uid="{378472FD-9668-4AF9-AA1D-DF12337453E9}" name="Month" dataDxfId="109" totalsRowDxfId="108"/>
    <tableColumn id="3" xr3:uid="{EC4EA678-83A3-4449-A65C-98D1E3AE75DB}" name="Employe Id" dataDxfId="107" totalsRowDxfId="106"/>
    <tableColumn id="4" xr3:uid="{38051B2F-7504-4452-BE46-4782209E748E}" name="Present" dataDxfId="105">
      <calculatedColumnFormula>COUNTIF($K8:$AO8,"P")</calculatedColumnFormula>
    </tableColumn>
    <tableColumn id="5" xr3:uid="{82FAC828-2D25-4FC3-A4EA-260535DD34CA}" name="Absent" dataDxfId="104">
      <calculatedColumnFormula>COUNTIF($K8:$AO8,"A")</calculatedColumnFormula>
    </tableColumn>
    <tableColumn id="6" xr3:uid="{6877363F-F187-4F09-B4FC-405265BA7C91}" name="Leave" dataDxfId="103">
      <calculatedColumnFormula>COUNTIF($K8:$AO8,"L")</calculatedColumnFormula>
    </tableColumn>
    <tableColumn id="7" xr3:uid="{021B8AF9-56FC-44E7-ADDF-DD1A61948C05}" name="Week off" dataDxfId="102">
      <calculatedColumnFormula>COUNTIF($K8:$AO8,"WO")</calculatedColumnFormula>
    </tableColumn>
    <tableColumn id="8" xr3:uid="{968FF29F-6252-4B8E-92FB-C7F5749CB2B5}" name="Days" dataDxfId="101">
      <calculatedColumnFormula>($M$5-$H$5)+1</calculatedColumnFormula>
    </tableColumn>
    <tableColumn id="9" xr3:uid="{396E296E-20AF-4F3F-A57A-EAF70FB09F7C}" name="Paid Days" dataDxfId="100">
      <calculatedColumnFormula>Table1310[[#This Row],[Days]]-Table1310[[#This Row],[Absent]]</calculatedColumnFormula>
    </tableColumn>
    <tableColumn id="10" xr3:uid="{51331A3D-C412-4DF2-87FE-248A583A99CE}" name="Salary"/>
    <tableColumn id="11" xr3:uid="{33BB6BDF-73D0-4418-B31C-C6825F597EF5}" name="Per Day Salary" dataDxfId="99">
      <calculatedColumnFormula>Table1310[[#This Row],[Salary]]/Table1310[[#This Row],[Days]]</calculatedColumnFormula>
    </tableColumn>
    <tableColumn id="12" xr3:uid="{327C7843-E971-4161-B0EC-364D2F4FD5D0}" name="Deduction " dataDxfId="98">
      <calculatedColumnFormula>Table1310[[#This Row],[Per Day Salary]]*Table1310[[#This Row],[Absent]]</calculatedColumnFormula>
    </tableColumn>
    <tableColumn id="13" xr3:uid="{BA6FD95E-700C-46DA-BE5A-6AD5B38F7CBF}" name="Total Salary" totalsRowFunction="count" dataDxfId="97">
      <calculatedColumnFormula>Table1310[[#This Row],[Salary]]-Table1310[[#This Row],[Deduction ]]</calculatedColumnFormula>
    </tableColumn>
  </tableColumns>
  <tableStyleInfo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8273671-2A01-4A35-A233-FE1FCE7DA48B}" name="Table1312" displayName="Table1312" ref="AR7:BE28" headerRowDxfId="96">
  <autoFilter ref="AR7:BE28" xr:uid="{E8273671-2A01-4A35-A233-FE1FCE7DA48B}"/>
  <tableColumns count="14">
    <tableColumn id="1" xr3:uid="{FE4B3007-B96E-47C1-8388-3CC2E1E329E5}" name="S No" totalsRowLabel="Total" dataDxfId="95" totalsRowDxfId="94"/>
    <tableColumn id="2" xr3:uid="{299378FA-26E2-4B3A-9ADC-61E10F42090A}" name="Name" dataDxfId="93" totalsRowDxfId="92"/>
    <tableColumn id="14" xr3:uid="{D504BAA9-A0FC-4C8C-9250-944726B0E599}" name="Month" dataDxfId="91" totalsRowDxfId="90"/>
    <tableColumn id="3" xr3:uid="{FE6E17B7-9C39-431E-A96A-FC4E62BCB099}" name="Employe Id" dataDxfId="89" totalsRowDxfId="88"/>
    <tableColumn id="4" xr3:uid="{D0ADB6B0-9C1D-420E-BB75-08183B3B3396}" name="Present" dataDxfId="87">
      <calculatedColumnFormula>COUNTIF($K8:$AO8,"P")</calculatedColumnFormula>
    </tableColumn>
    <tableColumn id="5" xr3:uid="{BA975134-A331-4A4B-B8A5-F0A3EC5FACAB}" name="Absent" dataDxfId="86">
      <calculatedColumnFormula>COUNTIF($K8:$AO8,"A")</calculatedColumnFormula>
    </tableColumn>
    <tableColumn id="6" xr3:uid="{5FEC0B40-2197-45F6-8EF9-5EDB0A3B1D2D}" name="Leave" dataDxfId="85">
      <calculatedColumnFormula>COUNTIF($K8:$AO8,"L")</calculatedColumnFormula>
    </tableColumn>
    <tableColumn id="7" xr3:uid="{E3B91002-A75E-4D8B-8ADD-FC745A1BB439}" name="Week off" dataDxfId="84">
      <calculatedColumnFormula>COUNTIF($K8:$AO8,"WO")</calculatedColumnFormula>
    </tableColumn>
    <tableColumn id="8" xr3:uid="{E2FFFB7F-E51E-4C0A-95C4-DCC6DAA091D4}" name="Days" dataDxfId="83">
      <calculatedColumnFormula>($M$5-$H$5)+1</calculatedColumnFormula>
    </tableColumn>
    <tableColumn id="9" xr3:uid="{1DC6AA45-5E8A-43CC-893F-9A95B4C505A9}" name="Paid Days" dataDxfId="82">
      <calculatedColumnFormula>Table1312[[#This Row],[Days]]-Table1312[[#This Row],[Absent]]</calculatedColumnFormula>
    </tableColumn>
    <tableColumn id="10" xr3:uid="{4DD857C7-7888-4F01-A737-6B4AE63DC1C5}" name="Salary"/>
    <tableColumn id="11" xr3:uid="{7876014F-5003-4048-913D-6615FCECB62A}" name="Per Day Salary" dataDxfId="81">
      <calculatedColumnFormula>Table1312[[#This Row],[Salary]]/Table1312[[#This Row],[Days]]</calculatedColumnFormula>
    </tableColumn>
    <tableColumn id="12" xr3:uid="{269BC498-729B-43FF-B5BE-40BFA52FE5EF}" name="Deduction " dataDxfId="80">
      <calculatedColumnFormula>Table1312[[#This Row],[Per Day Salary]]*Table1312[[#This Row],[Absent]]</calculatedColumnFormula>
    </tableColumn>
    <tableColumn id="13" xr3:uid="{8D60BEC2-AEF5-487C-BEB3-CA2F6DF49306}" name="Total Salary" totalsRowFunction="count" dataDxfId="79">
      <calculatedColumnFormula>Table1312[[#This Row],[Salary]]-Table1312[[#This Row],[Deduction ]]</calculatedColumnFormula>
    </tableColumn>
  </tableColumns>
  <tableStyleInfo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647E316-9F04-48F3-A158-C9CDEAF70833}" name="Table1313" displayName="Table1313" ref="AR7:BE27" headerRowDxfId="78">
  <autoFilter ref="AR7:BE27" xr:uid="{3647E316-9F04-48F3-A158-C9CDEAF70833}"/>
  <tableColumns count="14">
    <tableColumn id="1" xr3:uid="{25E2ABDB-B299-4183-9AA9-B9AA1DCB896A}" name="S No" totalsRowLabel="Total" dataDxfId="77" totalsRowDxfId="76"/>
    <tableColumn id="2" xr3:uid="{E45D6FAE-5F88-40E4-AF9B-5CD93C75DE94}" name="Name" dataDxfId="75" totalsRowDxfId="74"/>
    <tableColumn id="14" xr3:uid="{78212A7A-CA62-43CC-9C22-B015B0617E9C}" name="Month" dataDxfId="73" totalsRowDxfId="72"/>
    <tableColumn id="3" xr3:uid="{40479A97-EE7D-40F7-BB37-31B015C00263}" name="Employe Id" dataDxfId="71" totalsRowDxfId="70"/>
    <tableColumn id="4" xr3:uid="{5A2EDA6C-5F43-4E5B-AC3A-E1D11EE76A9C}" name="Present" dataDxfId="69">
      <calculatedColumnFormula>COUNTIF($K8:$AO8,"P")</calculatedColumnFormula>
    </tableColumn>
    <tableColumn id="5" xr3:uid="{F3598712-8686-4DC3-946B-1BBBFCCB9B35}" name="Absent" dataDxfId="68">
      <calculatedColumnFormula>COUNTIF($K8:$AO8,"A")</calculatedColumnFormula>
    </tableColumn>
    <tableColumn id="6" xr3:uid="{E6D21829-98D6-46E3-8034-F4E8EADAF1CF}" name="Leave" dataDxfId="67">
      <calculatedColumnFormula>COUNTIF($K8:$AO8,"L")</calculatedColumnFormula>
    </tableColumn>
    <tableColumn id="7" xr3:uid="{F3AD1C6F-E934-4A1D-BB29-EF223D517E2D}" name="Week off" dataDxfId="66">
      <calculatedColumnFormula>COUNTIF($K8:$AO8,"WO")</calculatedColumnFormula>
    </tableColumn>
    <tableColumn id="8" xr3:uid="{C85DFB54-C448-4F11-9457-B20F73971616}" name="Days" dataDxfId="65">
      <calculatedColumnFormula>($M$5-$H$5)+1</calculatedColumnFormula>
    </tableColumn>
    <tableColumn id="9" xr3:uid="{32E31CEF-3782-487F-B2A0-7B767D06E631}" name="Paid Days" dataDxfId="64">
      <calculatedColumnFormula>Table1313[[#This Row],[Days]]-Table1313[[#This Row],[Absent]]</calculatedColumnFormula>
    </tableColumn>
    <tableColumn id="10" xr3:uid="{E02F0FA4-18AD-4961-8DB6-51C1951C11AB}" name="Salary" dataDxfId="63"/>
    <tableColumn id="11" xr3:uid="{C8A5723F-D746-4781-9504-5A8026E7AE31}" name="Per Day Salary" dataDxfId="62">
      <calculatedColumnFormula>Table1313[[#This Row],[Salary]]/Table1313[[#This Row],[Days]]</calculatedColumnFormula>
    </tableColumn>
    <tableColumn id="12" xr3:uid="{F8A1966D-7FC3-40DB-ABDC-C5A3A7F368E0}" name="Deduction " dataDxfId="61">
      <calculatedColumnFormula>Table1313[[#This Row],[Per Day Salary]]*Table1313[[#This Row],[Absent]]</calculatedColumnFormula>
    </tableColumn>
    <tableColumn id="13" xr3:uid="{E4AD8A8D-6539-4DA3-BC62-48B5EAD895AA}" name="Total Salary" totalsRowFunction="count" dataDxfId="60">
      <calculatedColumnFormula>Table1313[[#This Row],[Salary]]-Table1313[[#This Row],[Deduction ]]</calculatedColumnFormula>
    </tableColumn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4"/>
  <sheetViews>
    <sheetView topLeftCell="A13" workbookViewId="0">
      <selection activeCell="K30" activeCellId="2" sqref="K15:K29 K31:K34 K30"/>
    </sheetView>
  </sheetViews>
  <sheetFormatPr defaultRowHeight="14.5" x14ac:dyDescent="0.35"/>
  <cols>
    <col min="5" max="6" width="10.1796875" bestFit="1" customWidth="1"/>
    <col min="8" max="8" width="10.1796875" bestFit="1" customWidth="1"/>
    <col min="10" max="10" width="11.54296875" customWidth="1"/>
    <col min="12" max="12" width="26" bestFit="1" customWidth="1"/>
    <col min="15" max="15" width="10.1796875" bestFit="1" customWidth="1"/>
  </cols>
  <sheetData>
    <row r="1" spans="1:15" x14ac:dyDescent="0.35">
      <c r="A1" s="53" t="s">
        <v>0</v>
      </c>
      <c r="B1" s="53" t="s">
        <v>1</v>
      </c>
      <c r="C1" s="53" t="s">
        <v>2</v>
      </c>
    </row>
    <row r="2" spans="1:15" x14ac:dyDescent="0.35">
      <c r="A2" s="53"/>
      <c r="B2" s="53"/>
      <c r="C2" s="53"/>
      <c r="E2" s="4">
        <v>45658</v>
      </c>
      <c r="F2" s="4">
        <v>45658</v>
      </c>
      <c r="H2" s="4">
        <v>45658</v>
      </c>
      <c r="J2" s="4">
        <v>45658</v>
      </c>
      <c r="L2" s="2">
        <v>45658</v>
      </c>
      <c r="M2" s="2"/>
      <c r="N2" s="2">
        <v>45658</v>
      </c>
      <c r="O2" s="4">
        <v>45658</v>
      </c>
    </row>
    <row r="3" spans="1:15" x14ac:dyDescent="0.35">
      <c r="A3" s="1">
        <v>1</v>
      </c>
      <c r="B3" s="1" t="s">
        <v>3</v>
      </c>
      <c r="C3" s="1">
        <v>1001</v>
      </c>
      <c r="E3" s="4">
        <v>45689</v>
      </c>
      <c r="F3" s="4">
        <v>45689</v>
      </c>
      <c r="H3" s="4">
        <v>45659</v>
      </c>
      <c r="J3" s="4">
        <v>45689</v>
      </c>
      <c r="L3" s="2">
        <v>45659</v>
      </c>
      <c r="O3" s="4">
        <v>45659</v>
      </c>
    </row>
    <row r="4" spans="1:15" x14ac:dyDescent="0.35">
      <c r="A4" s="1">
        <v>2</v>
      </c>
      <c r="B4" s="1" t="s">
        <v>4</v>
      </c>
      <c r="C4" s="1">
        <v>1002</v>
      </c>
      <c r="E4" s="4">
        <v>45717</v>
      </c>
      <c r="F4" s="4">
        <v>45717</v>
      </c>
      <c r="H4" s="4">
        <v>45660</v>
      </c>
      <c r="J4" s="4">
        <v>45717</v>
      </c>
      <c r="L4" s="2">
        <v>45660</v>
      </c>
      <c r="O4" s="4">
        <v>45660</v>
      </c>
    </row>
    <row r="5" spans="1:15" x14ac:dyDescent="0.35">
      <c r="A5" s="1">
        <v>3</v>
      </c>
      <c r="B5" s="1" t="s">
        <v>5</v>
      </c>
      <c r="C5" s="1">
        <v>1003</v>
      </c>
      <c r="E5" s="4">
        <v>45748</v>
      </c>
      <c r="F5" s="4">
        <v>45748</v>
      </c>
      <c r="H5" s="4">
        <v>45661</v>
      </c>
      <c r="J5" s="4">
        <v>45748</v>
      </c>
      <c r="L5" s="2">
        <v>45661</v>
      </c>
      <c r="O5" s="4">
        <v>45661</v>
      </c>
    </row>
    <row r="6" spans="1:15" x14ac:dyDescent="0.35">
      <c r="A6" s="1">
        <v>4</v>
      </c>
      <c r="B6" s="1" t="s">
        <v>6</v>
      </c>
      <c r="C6" s="1">
        <v>1004</v>
      </c>
      <c r="E6" s="4">
        <v>45778</v>
      </c>
      <c r="F6" s="4">
        <v>45778</v>
      </c>
      <c r="H6" s="4">
        <v>45662</v>
      </c>
      <c r="J6" s="4">
        <v>45778</v>
      </c>
      <c r="L6" s="2">
        <v>45662</v>
      </c>
      <c r="O6" s="4">
        <v>45662</v>
      </c>
    </row>
    <row r="7" spans="1:15" x14ac:dyDescent="0.35">
      <c r="A7" s="1">
        <v>5</v>
      </c>
      <c r="B7" s="1" t="s">
        <v>7</v>
      </c>
      <c r="C7" s="1">
        <v>1005</v>
      </c>
      <c r="E7" s="4">
        <v>45809</v>
      </c>
      <c r="F7" s="4">
        <v>45809</v>
      </c>
      <c r="H7" s="4">
        <v>45663</v>
      </c>
      <c r="J7" s="4">
        <v>45809</v>
      </c>
      <c r="L7" s="2">
        <v>45663</v>
      </c>
      <c r="O7" s="4">
        <v>45663</v>
      </c>
    </row>
    <row r="8" spans="1:15" x14ac:dyDescent="0.35">
      <c r="A8" s="1">
        <v>6</v>
      </c>
      <c r="B8" s="1" t="s">
        <v>8</v>
      </c>
      <c r="C8" s="1">
        <v>1006</v>
      </c>
      <c r="E8" s="4">
        <v>45839</v>
      </c>
      <c r="F8" s="4">
        <v>45839</v>
      </c>
      <c r="H8" s="4">
        <v>45664</v>
      </c>
      <c r="J8" s="4">
        <v>45839</v>
      </c>
      <c r="L8" s="2">
        <v>45664</v>
      </c>
      <c r="O8" s="4">
        <v>45664</v>
      </c>
    </row>
    <row r="9" spans="1:15" x14ac:dyDescent="0.35">
      <c r="A9" s="1">
        <v>7</v>
      </c>
      <c r="B9" s="1" t="s">
        <v>9</v>
      </c>
      <c r="C9" s="1">
        <v>1007</v>
      </c>
      <c r="E9" s="4">
        <v>45870</v>
      </c>
      <c r="F9" s="4">
        <v>45870</v>
      </c>
      <c r="H9" s="4">
        <v>45665</v>
      </c>
      <c r="J9" s="4">
        <v>45870</v>
      </c>
      <c r="L9" s="2">
        <v>45665</v>
      </c>
      <c r="O9" s="4">
        <v>45665</v>
      </c>
    </row>
    <row r="10" spans="1:15" x14ac:dyDescent="0.35">
      <c r="A10" s="1">
        <v>8</v>
      </c>
      <c r="B10" s="1" t="s">
        <v>10</v>
      </c>
      <c r="C10" s="1">
        <v>1008</v>
      </c>
      <c r="E10" s="4">
        <v>45901</v>
      </c>
      <c r="F10" s="4">
        <v>45901</v>
      </c>
      <c r="H10" s="4">
        <v>45666</v>
      </c>
      <c r="J10" s="4">
        <v>45901</v>
      </c>
      <c r="L10" s="2">
        <v>45666</v>
      </c>
      <c r="O10" s="4">
        <v>45666</v>
      </c>
    </row>
    <row r="11" spans="1:15" x14ac:dyDescent="0.35">
      <c r="A11" s="1">
        <v>9</v>
      </c>
      <c r="B11" s="1" t="s">
        <v>11</v>
      </c>
      <c r="C11" s="1">
        <v>1009</v>
      </c>
      <c r="E11" s="4">
        <v>45931</v>
      </c>
      <c r="F11" s="4">
        <v>45931</v>
      </c>
      <c r="H11" s="4">
        <v>45667</v>
      </c>
      <c r="J11" s="4">
        <v>45931</v>
      </c>
      <c r="L11" s="2">
        <v>45667</v>
      </c>
      <c r="O11" s="4">
        <v>45667</v>
      </c>
    </row>
    <row r="12" spans="1:15" x14ac:dyDescent="0.35">
      <c r="A12" s="1">
        <v>10</v>
      </c>
      <c r="B12" s="1" t="s">
        <v>12</v>
      </c>
      <c r="C12" s="1">
        <v>1010</v>
      </c>
      <c r="E12" s="4">
        <v>45962</v>
      </c>
      <c r="F12" s="4">
        <v>45962</v>
      </c>
      <c r="H12" s="4">
        <v>45668</v>
      </c>
      <c r="J12" s="4">
        <v>45962</v>
      </c>
      <c r="L12" s="2">
        <v>45668</v>
      </c>
      <c r="O12" s="4">
        <v>45668</v>
      </c>
    </row>
    <row r="13" spans="1:15" x14ac:dyDescent="0.35">
      <c r="A13" s="1">
        <v>11</v>
      </c>
      <c r="B13" s="1" t="s">
        <v>13</v>
      </c>
      <c r="C13" s="1">
        <v>1011</v>
      </c>
      <c r="E13" s="4">
        <v>45992</v>
      </c>
      <c r="F13" s="4">
        <v>45992</v>
      </c>
      <c r="H13" s="4">
        <v>45669</v>
      </c>
      <c r="J13" s="4">
        <v>45992</v>
      </c>
      <c r="L13" s="2">
        <v>45669</v>
      </c>
      <c r="O13" s="4">
        <v>45669</v>
      </c>
    </row>
    <row r="14" spans="1:15" x14ac:dyDescent="0.35">
      <c r="A14" s="1">
        <v>12</v>
      </c>
      <c r="B14" s="1" t="s">
        <v>14</v>
      </c>
      <c r="C14" s="1">
        <v>1012</v>
      </c>
      <c r="H14" s="4"/>
    </row>
    <row r="15" spans="1:15" x14ac:dyDescent="0.35">
      <c r="A15" s="1">
        <v>13</v>
      </c>
      <c r="B15" s="1" t="s">
        <v>15</v>
      </c>
      <c r="C15" s="1">
        <v>1013</v>
      </c>
      <c r="K15" t="str" cm="1">
        <f t="array" ref="K15:K34">PROPER(B3:B22)</f>
        <v>Kamlesh</v>
      </c>
    </row>
    <row r="16" spans="1:15" x14ac:dyDescent="0.35">
      <c r="A16" s="1">
        <v>14</v>
      </c>
      <c r="B16" s="1" t="s">
        <v>16</v>
      </c>
      <c r="C16" s="1">
        <v>1014</v>
      </c>
      <c r="K16" t="str">
        <v>Meera</v>
      </c>
    </row>
    <row r="17" spans="1:11" x14ac:dyDescent="0.35">
      <c r="A17" s="1">
        <v>15</v>
      </c>
      <c r="B17" s="1" t="s">
        <v>17</v>
      </c>
      <c r="C17" s="1">
        <v>1015</v>
      </c>
      <c r="K17" t="str">
        <v>Kishan</v>
      </c>
    </row>
    <row r="18" spans="1:11" x14ac:dyDescent="0.35">
      <c r="A18" s="1">
        <v>16</v>
      </c>
      <c r="B18" s="1" t="s">
        <v>18</v>
      </c>
      <c r="C18" s="1">
        <v>1016</v>
      </c>
      <c r="K18" t="str">
        <v>Sujal</v>
      </c>
    </row>
    <row r="19" spans="1:11" x14ac:dyDescent="0.35">
      <c r="A19" s="1">
        <v>17</v>
      </c>
      <c r="B19" s="1" t="s">
        <v>19</v>
      </c>
      <c r="C19" s="1">
        <v>1017</v>
      </c>
      <c r="K19" t="str">
        <v>Kanu</v>
      </c>
    </row>
    <row r="20" spans="1:11" x14ac:dyDescent="0.35">
      <c r="A20" s="1">
        <v>18</v>
      </c>
      <c r="B20" s="1" t="s">
        <v>20</v>
      </c>
      <c r="C20" s="1">
        <v>1018</v>
      </c>
      <c r="K20" t="str">
        <v>Suresh</v>
      </c>
    </row>
    <row r="21" spans="1:11" x14ac:dyDescent="0.35">
      <c r="A21" s="1">
        <v>19</v>
      </c>
      <c r="B21" s="1" t="s">
        <v>21</v>
      </c>
      <c r="C21" s="1">
        <v>1019</v>
      </c>
      <c r="K21" t="str">
        <v>Mehak</v>
      </c>
    </row>
    <row r="22" spans="1:11" x14ac:dyDescent="0.35">
      <c r="A22" s="1">
        <v>20</v>
      </c>
      <c r="B22" s="1" t="s">
        <v>22</v>
      </c>
      <c r="C22" s="1">
        <v>1020</v>
      </c>
      <c r="K22" t="str">
        <v xml:space="preserve">Tina </v>
      </c>
    </row>
    <row r="23" spans="1:11" x14ac:dyDescent="0.35">
      <c r="K23" t="str">
        <v>Sammer</v>
      </c>
    </row>
    <row r="24" spans="1:11" x14ac:dyDescent="0.35">
      <c r="K24" t="str">
        <v>Akshit</v>
      </c>
    </row>
    <row r="25" spans="1:11" x14ac:dyDescent="0.35">
      <c r="K25" t="str">
        <v>Salman</v>
      </c>
    </row>
    <row r="26" spans="1:11" x14ac:dyDescent="0.35">
      <c r="K26" t="str">
        <v>Ram</v>
      </c>
    </row>
    <row r="27" spans="1:11" x14ac:dyDescent="0.35">
      <c r="K27" t="str">
        <v>Shyam</v>
      </c>
    </row>
    <row r="28" spans="1:11" x14ac:dyDescent="0.35">
      <c r="K28" t="str">
        <v>Palak</v>
      </c>
    </row>
    <row r="29" spans="1:11" x14ac:dyDescent="0.35">
      <c r="K29" t="str">
        <v>Manshi</v>
      </c>
    </row>
    <row r="30" spans="1:11" x14ac:dyDescent="0.35">
      <c r="K30" t="str">
        <v>Rajesh</v>
      </c>
    </row>
    <row r="31" spans="1:11" x14ac:dyDescent="0.35">
      <c r="K31" t="str">
        <v>Dilip</v>
      </c>
    </row>
    <row r="32" spans="1:11" x14ac:dyDescent="0.35">
      <c r="K32" t="str">
        <v>Gauri</v>
      </c>
    </row>
    <row r="33" spans="11:11" x14ac:dyDescent="0.35">
      <c r="K33" t="str">
        <v>Chetna</v>
      </c>
    </row>
    <row r="34" spans="11:11" x14ac:dyDescent="0.35">
      <c r="K34" t="str">
        <v>Payal</v>
      </c>
    </row>
  </sheetData>
  <mergeCells count="3">
    <mergeCell ref="A1:A2"/>
    <mergeCell ref="B1:B2"/>
    <mergeCell ref="C1:C2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F4:BN28"/>
  <sheetViews>
    <sheetView showGridLines="0" zoomScale="72" zoomScaleNormal="130" workbookViewId="0"/>
  </sheetViews>
  <sheetFormatPr defaultRowHeight="14.5" x14ac:dyDescent="0.35"/>
  <cols>
    <col min="7" max="7" width="12.54296875" bestFit="1" customWidth="1"/>
    <col min="8" max="8" width="11.7265625" bestFit="1" customWidth="1"/>
    <col min="9" max="9" width="12.26953125" customWidth="1"/>
    <col min="10" max="10" width="8.453125" bestFit="1" customWidth="1"/>
    <col min="11" max="11" width="3.453125" bestFit="1" customWidth="1"/>
    <col min="12" max="12" width="3.7265625" bestFit="1" customWidth="1"/>
    <col min="13" max="13" width="5.54296875" customWidth="1"/>
    <col min="14" max="14" width="3.7265625" bestFit="1" customWidth="1"/>
    <col min="15" max="15" width="4.453125" bestFit="1" customWidth="1"/>
    <col min="16" max="16" width="3.7265625" bestFit="1" customWidth="1"/>
    <col min="17" max="17" width="2.81640625" bestFit="1" customWidth="1"/>
    <col min="18" max="18" width="3.453125" bestFit="1" customWidth="1"/>
    <col min="19" max="19" width="3.7265625" bestFit="1" customWidth="1"/>
    <col min="20" max="20" width="4.453125" bestFit="1" customWidth="1"/>
    <col min="21" max="21" width="3.7265625" bestFit="1" customWidth="1"/>
    <col min="22" max="22" width="4.453125" bestFit="1" customWidth="1"/>
    <col min="23" max="23" width="3.7265625" bestFit="1" customWidth="1"/>
    <col min="24" max="24" width="2.81640625" bestFit="1" customWidth="1"/>
    <col min="25" max="25" width="3.453125" bestFit="1" customWidth="1"/>
    <col min="26" max="26" width="3.7265625" bestFit="1" customWidth="1"/>
    <col min="27" max="27" width="4.453125" bestFit="1" customWidth="1"/>
    <col min="28" max="28" width="3.7265625" bestFit="1" customWidth="1"/>
    <col min="29" max="29" width="4.453125" bestFit="1" customWidth="1"/>
    <col min="30" max="30" width="3.7265625" bestFit="1" customWidth="1"/>
    <col min="31" max="31" width="2.81640625" bestFit="1" customWidth="1"/>
    <col min="32" max="32" width="3.453125" bestFit="1" customWidth="1"/>
    <col min="33" max="33" width="3.7265625" bestFit="1" customWidth="1"/>
    <col min="34" max="34" width="4.453125" bestFit="1" customWidth="1"/>
    <col min="35" max="35" width="3.7265625" bestFit="1" customWidth="1"/>
    <col min="36" max="36" width="4.453125" bestFit="1" customWidth="1"/>
    <col min="37" max="37" width="3.7265625" bestFit="1" customWidth="1"/>
    <col min="38" max="38" width="2.81640625" bestFit="1" customWidth="1"/>
    <col min="39" max="39" width="3.453125" bestFit="1" customWidth="1"/>
    <col min="40" max="40" width="4.1796875" bestFit="1" customWidth="1"/>
    <col min="41" max="41" width="5.08984375" customWidth="1"/>
    <col min="45" max="46" width="10.453125" customWidth="1"/>
    <col min="47" max="47" width="12.81640625" customWidth="1"/>
    <col min="48" max="48" width="9.453125" customWidth="1"/>
    <col min="49" max="49" width="8.90625" customWidth="1"/>
    <col min="51" max="51" width="10.453125" customWidth="1"/>
    <col min="53" max="53" width="10.7265625" customWidth="1"/>
    <col min="54" max="54" width="10.7265625" bestFit="1" customWidth="1"/>
    <col min="55" max="55" width="14.36328125" customWidth="1"/>
    <col min="56" max="56" width="12" customWidth="1"/>
    <col min="57" max="57" width="12.54296875" customWidth="1"/>
  </cols>
  <sheetData>
    <row r="4" spans="6:66" x14ac:dyDescent="0.35">
      <c r="F4" s="21"/>
      <c r="G4" s="21"/>
      <c r="H4" s="21"/>
      <c r="I4" s="22">
        <f>G5</f>
        <v>45658</v>
      </c>
      <c r="J4" s="21"/>
      <c r="K4" s="21"/>
      <c r="L4" s="21"/>
    </row>
    <row r="5" spans="6:66" ht="15" thickBot="1" x14ac:dyDescent="0.4">
      <c r="F5" s="21" t="s">
        <v>23</v>
      </c>
      <c r="G5" s="26">
        <v>45658</v>
      </c>
      <c r="H5" s="24">
        <f>G5</f>
        <v>45658</v>
      </c>
      <c r="I5" s="24"/>
      <c r="J5" s="21"/>
      <c r="K5" s="21"/>
      <c r="L5" s="21" t="s">
        <v>25</v>
      </c>
      <c r="M5" s="23">
        <f>EOMONTH(G5,0)</f>
        <v>45688</v>
      </c>
      <c r="O5" s="3"/>
    </row>
    <row r="6" spans="6:66" ht="16.5" thickBot="1" x14ac:dyDescent="0.45">
      <c r="G6" s="50" t="s">
        <v>27</v>
      </c>
      <c r="H6" s="51"/>
      <c r="I6" s="52"/>
      <c r="J6" s="11" t="s">
        <v>26</v>
      </c>
      <c r="K6" s="12" t="str">
        <f>TEXT(K7,"ddd")</f>
        <v>Wed</v>
      </c>
      <c r="L6" s="12" t="str">
        <f t="shared" ref="L6:AN6" si="0">TEXT(L7,"ddd")</f>
        <v>Thu</v>
      </c>
      <c r="M6" s="12" t="str">
        <f t="shared" si="0"/>
        <v>Fri</v>
      </c>
      <c r="N6" s="12" t="str">
        <f t="shared" si="0"/>
        <v>Sat</v>
      </c>
      <c r="O6" s="12" t="str">
        <f t="shared" si="0"/>
        <v>Sun</v>
      </c>
      <c r="P6" s="12" t="str">
        <f t="shared" si="0"/>
        <v>Mon</v>
      </c>
      <c r="Q6" s="12" t="str">
        <f t="shared" si="0"/>
        <v>Tue</v>
      </c>
      <c r="R6" s="12" t="str">
        <f t="shared" si="0"/>
        <v>Wed</v>
      </c>
      <c r="S6" s="12" t="str">
        <f t="shared" si="0"/>
        <v>Thu</v>
      </c>
      <c r="T6" s="12" t="str">
        <f t="shared" si="0"/>
        <v>Fri</v>
      </c>
      <c r="U6" s="12" t="str">
        <f t="shared" si="0"/>
        <v>Sat</v>
      </c>
      <c r="V6" s="12" t="str">
        <f t="shared" si="0"/>
        <v>Sun</v>
      </c>
      <c r="W6" s="12" t="str">
        <f t="shared" si="0"/>
        <v>Mon</v>
      </c>
      <c r="X6" s="12" t="str">
        <f t="shared" si="0"/>
        <v>Tue</v>
      </c>
      <c r="Y6" s="12" t="str">
        <f t="shared" si="0"/>
        <v>Wed</v>
      </c>
      <c r="Z6" s="12" t="str">
        <f t="shared" si="0"/>
        <v>Thu</v>
      </c>
      <c r="AA6" s="12" t="str">
        <f t="shared" si="0"/>
        <v>Fri</v>
      </c>
      <c r="AB6" s="12" t="str">
        <f t="shared" si="0"/>
        <v>Sat</v>
      </c>
      <c r="AC6" s="12" t="str">
        <f t="shared" si="0"/>
        <v>Sun</v>
      </c>
      <c r="AD6" s="12" t="str">
        <f t="shared" si="0"/>
        <v>Mon</v>
      </c>
      <c r="AE6" s="12" t="str">
        <f t="shared" si="0"/>
        <v>Tue</v>
      </c>
      <c r="AF6" s="12" t="str">
        <f t="shared" si="0"/>
        <v>Wed</v>
      </c>
      <c r="AG6" s="12" t="str">
        <f t="shared" si="0"/>
        <v>Thu</v>
      </c>
      <c r="AH6" s="12" t="str">
        <f t="shared" si="0"/>
        <v>Fri</v>
      </c>
      <c r="AI6" s="12" t="str">
        <f t="shared" si="0"/>
        <v>Sat</v>
      </c>
      <c r="AJ6" s="12" t="str">
        <f t="shared" si="0"/>
        <v>Sun</v>
      </c>
      <c r="AK6" s="12" t="str">
        <f t="shared" si="0"/>
        <v>Mon</v>
      </c>
      <c r="AL6" s="12" t="str">
        <f t="shared" si="0"/>
        <v>Tue</v>
      </c>
      <c r="AM6" s="13" t="str">
        <f t="shared" si="0"/>
        <v>Wed</v>
      </c>
      <c r="AN6" s="13" t="str">
        <f t="shared" si="0"/>
        <v>Thu</v>
      </c>
      <c r="AO6" s="14" t="str">
        <f>TEXT(AO7,"ddd")</f>
        <v>Fri</v>
      </c>
    </row>
    <row r="7" spans="6:66" ht="14.25" customHeight="1" x14ac:dyDescent="0.35">
      <c r="G7" s="7" t="s">
        <v>0</v>
      </c>
      <c r="H7" s="25" t="s">
        <v>1</v>
      </c>
      <c r="I7" s="25" t="s">
        <v>2</v>
      </c>
      <c r="J7" s="8" t="s">
        <v>24</v>
      </c>
      <c r="K7" s="9">
        <f>G5</f>
        <v>45658</v>
      </c>
      <c r="L7" s="9">
        <f>IF(K7&lt;$M$5,1+K7,"")</f>
        <v>45659</v>
      </c>
      <c r="M7" s="9">
        <f t="shared" ref="M7:AL7" si="1">IF(L7&lt;$M$5,1+L7,"")</f>
        <v>45660</v>
      </c>
      <c r="N7" s="9">
        <f t="shared" si="1"/>
        <v>45661</v>
      </c>
      <c r="O7" s="9">
        <f t="shared" si="1"/>
        <v>45662</v>
      </c>
      <c r="P7" s="9">
        <f t="shared" si="1"/>
        <v>45663</v>
      </c>
      <c r="Q7" s="9">
        <f t="shared" si="1"/>
        <v>45664</v>
      </c>
      <c r="R7" s="9">
        <f t="shared" si="1"/>
        <v>45665</v>
      </c>
      <c r="S7" s="9">
        <f t="shared" si="1"/>
        <v>45666</v>
      </c>
      <c r="T7" s="9">
        <f t="shared" si="1"/>
        <v>45667</v>
      </c>
      <c r="U7" s="9">
        <f t="shared" si="1"/>
        <v>45668</v>
      </c>
      <c r="V7" s="9">
        <f t="shared" si="1"/>
        <v>45669</v>
      </c>
      <c r="W7" s="9">
        <f t="shared" si="1"/>
        <v>45670</v>
      </c>
      <c r="X7" s="9">
        <f t="shared" si="1"/>
        <v>45671</v>
      </c>
      <c r="Y7" s="9">
        <f t="shared" si="1"/>
        <v>45672</v>
      </c>
      <c r="Z7" s="9">
        <f t="shared" si="1"/>
        <v>45673</v>
      </c>
      <c r="AA7" s="9">
        <f>IF(Z7&lt;$M$5,1+Z7,"")</f>
        <v>45674</v>
      </c>
      <c r="AB7" s="9">
        <f t="shared" si="1"/>
        <v>45675</v>
      </c>
      <c r="AC7" s="9">
        <f t="shared" si="1"/>
        <v>45676</v>
      </c>
      <c r="AD7" s="9">
        <f t="shared" si="1"/>
        <v>45677</v>
      </c>
      <c r="AE7" s="9">
        <f t="shared" si="1"/>
        <v>45678</v>
      </c>
      <c r="AF7" s="9">
        <f t="shared" si="1"/>
        <v>45679</v>
      </c>
      <c r="AG7" s="9">
        <f t="shared" si="1"/>
        <v>45680</v>
      </c>
      <c r="AH7" s="9">
        <f t="shared" si="1"/>
        <v>45681</v>
      </c>
      <c r="AI7" s="9">
        <f t="shared" si="1"/>
        <v>45682</v>
      </c>
      <c r="AJ7" s="9">
        <f t="shared" si="1"/>
        <v>45683</v>
      </c>
      <c r="AK7" s="9">
        <f t="shared" si="1"/>
        <v>45684</v>
      </c>
      <c r="AL7" s="9">
        <f t="shared" si="1"/>
        <v>45685</v>
      </c>
      <c r="AM7" s="9">
        <f>IF(AL7&lt;$M$5,1+AL7,"")</f>
        <v>45686</v>
      </c>
      <c r="AN7" s="9">
        <f>IF(AM7&lt;$M$5,1+AM7,"")</f>
        <v>45687</v>
      </c>
      <c r="AO7" s="10">
        <f>IF(AN7&lt;$M$5,1+AN7,"")</f>
        <v>45688</v>
      </c>
      <c r="AP7" s="5"/>
      <c r="AQ7" s="5"/>
      <c r="AR7" s="18" t="s">
        <v>0</v>
      </c>
      <c r="AS7" s="18" t="s">
        <v>1</v>
      </c>
      <c r="AT7" s="18" t="s">
        <v>72</v>
      </c>
      <c r="AU7" s="18" t="s">
        <v>2</v>
      </c>
      <c r="AV7" s="17" t="s">
        <v>28</v>
      </c>
      <c r="AW7" s="17" t="s">
        <v>29</v>
      </c>
      <c r="AX7" s="17" t="s">
        <v>30</v>
      </c>
      <c r="AY7" s="17" t="s">
        <v>24</v>
      </c>
      <c r="AZ7" s="17" t="s">
        <v>26</v>
      </c>
      <c r="BA7" s="17" t="s">
        <v>31</v>
      </c>
      <c r="BB7" s="17" t="s">
        <v>32</v>
      </c>
      <c r="BC7" s="17" t="s">
        <v>33</v>
      </c>
      <c r="BD7" s="17" t="s">
        <v>34</v>
      </c>
      <c r="BE7" s="17" t="s">
        <v>35</v>
      </c>
      <c r="BF7" s="16"/>
      <c r="BG7" s="5"/>
      <c r="BH7" s="5"/>
      <c r="BI7" s="5"/>
      <c r="BJ7" s="5"/>
      <c r="BK7" s="5"/>
      <c r="BL7" s="5"/>
      <c r="BM7" s="5"/>
      <c r="BN7" s="5"/>
    </row>
    <row r="8" spans="6:66" ht="14.25" customHeight="1" x14ac:dyDescent="0.35">
      <c r="G8" s="7">
        <v>1</v>
      </c>
      <c r="H8" s="49" t="s">
        <v>37</v>
      </c>
      <c r="I8" s="7">
        <v>1001</v>
      </c>
      <c r="J8" s="15">
        <f>COUNTIF(K$6:AO$6,"Sun")</f>
        <v>4</v>
      </c>
      <c r="K8" s="7" t="s">
        <v>36</v>
      </c>
      <c r="L8" s="7" t="s">
        <v>36</v>
      </c>
      <c r="M8" s="7" t="s">
        <v>36</v>
      </c>
      <c r="N8" s="7" t="s">
        <v>36</v>
      </c>
      <c r="O8" s="7" t="s">
        <v>58</v>
      </c>
      <c r="P8" s="7" t="s">
        <v>36</v>
      </c>
      <c r="Q8" s="7" t="s">
        <v>56</v>
      </c>
      <c r="R8" s="7" t="s">
        <v>56</v>
      </c>
      <c r="S8" s="7" t="s">
        <v>56</v>
      </c>
      <c r="T8" s="7" t="s">
        <v>57</v>
      </c>
      <c r="U8" s="7" t="s">
        <v>36</v>
      </c>
      <c r="V8" s="7" t="s">
        <v>58</v>
      </c>
      <c r="W8" s="7" t="s">
        <v>36</v>
      </c>
      <c r="X8" s="7" t="s">
        <v>56</v>
      </c>
      <c r="Y8" s="7" t="s">
        <v>56</v>
      </c>
      <c r="Z8" s="7" t="s">
        <v>57</v>
      </c>
      <c r="AA8" s="7" t="s">
        <v>36</v>
      </c>
      <c r="AB8" s="7" t="s">
        <v>36</v>
      </c>
      <c r="AC8" s="7" t="s">
        <v>58</v>
      </c>
      <c r="AD8" s="7" t="s">
        <v>36</v>
      </c>
      <c r="AE8" s="7" t="s">
        <v>36</v>
      </c>
      <c r="AF8" s="7" t="s">
        <v>36</v>
      </c>
      <c r="AG8" s="7" t="s">
        <v>36</v>
      </c>
      <c r="AH8" s="7" t="s">
        <v>36</v>
      </c>
      <c r="AI8" s="7" t="s">
        <v>36</v>
      </c>
      <c r="AJ8" s="7" t="s">
        <v>58</v>
      </c>
      <c r="AK8" s="7" t="s">
        <v>36</v>
      </c>
      <c r="AL8" s="7" t="s">
        <v>36</v>
      </c>
      <c r="AM8" s="7" t="s">
        <v>56</v>
      </c>
      <c r="AN8" s="7" t="s">
        <v>56</v>
      </c>
      <c r="AO8" s="7" t="s">
        <v>57</v>
      </c>
      <c r="AP8" s="5"/>
      <c r="AQ8" s="5"/>
      <c r="AR8" s="7">
        <v>1</v>
      </c>
      <c r="AS8" s="29" t="s">
        <v>37</v>
      </c>
      <c r="AT8" s="7" t="s">
        <v>62</v>
      </c>
      <c r="AU8" s="7">
        <v>1001</v>
      </c>
      <c r="AV8" s="30">
        <f t="shared" ref="AV8:AV27" si="2">COUNTIF($K8:$AO8,"P")</f>
        <v>17</v>
      </c>
      <c r="AW8" s="30">
        <f>COUNTIF($K8:$AO8,"A")</f>
        <v>7</v>
      </c>
      <c r="AX8" s="30">
        <f t="shared" ref="AX8:AX27" si="3">COUNTIF($K8:$AO8,"L")</f>
        <v>3</v>
      </c>
      <c r="AY8" s="31">
        <f t="shared" ref="AY8:AY27" si="4">COUNTIF($K8:$AO8,"WO")</f>
        <v>4</v>
      </c>
      <c r="AZ8" s="31">
        <f>($M$5-$H$5)+1</f>
        <v>31</v>
      </c>
      <c r="BA8" s="32">
        <f>Table1[[#This Row],[Days]]-Table1[[#This Row],[Absent]]</f>
        <v>24</v>
      </c>
      <c r="BB8" s="33">
        <v>4500</v>
      </c>
      <c r="BC8" s="36">
        <f>Table1[[#This Row],[Salary]]/Table1[[#This Row],[Days]]</f>
        <v>145.16129032258064</v>
      </c>
      <c r="BD8" s="34">
        <f>Table1[[#This Row],[Per Day Salary]]*Table1[[#This Row],[Absent]]</f>
        <v>1016.1290322580645</v>
      </c>
      <c r="BE8" s="33">
        <f>Table1[[#This Row],[Salary]]-Table1[[#This Row],[Deduction ]]</f>
        <v>3483.8709677419356</v>
      </c>
      <c r="BF8" s="5"/>
      <c r="BG8" s="5"/>
      <c r="BH8" s="5"/>
      <c r="BI8" s="5"/>
      <c r="BJ8" s="5"/>
      <c r="BK8" s="5"/>
      <c r="BL8" s="5"/>
    </row>
    <row r="9" spans="6:66" x14ac:dyDescent="0.35">
      <c r="G9" s="7">
        <v>2</v>
      </c>
      <c r="H9" s="49" t="s">
        <v>38</v>
      </c>
      <c r="I9" s="7">
        <v>1002</v>
      </c>
      <c r="J9" s="15">
        <f t="shared" ref="J9:J27" si="5">COUNTIF(K$6:AO$6,"Sun")</f>
        <v>4</v>
      </c>
      <c r="K9" s="7" t="s">
        <v>36</v>
      </c>
      <c r="L9" s="7" t="s">
        <v>36</v>
      </c>
      <c r="M9" s="7" t="s">
        <v>36</v>
      </c>
      <c r="N9" s="7" t="s">
        <v>36</v>
      </c>
      <c r="O9" s="7" t="s">
        <v>58</v>
      </c>
      <c r="P9" s="7" t="s">
        <v>36</v>
      </c>
      <c r="Q9" s="7" t="s">
        <v>56</v>
      </c>
      <c r="R9" s="7" t="s">
        <v>56</v>
      </c>
      <c r="S9" s="7" t="s">
        <v>56</v>
      </c>
      <c r="T9" s="7" t="s">
        <v>57</v>
      </c>
      <c r="U9" s="7" t="s">
        <v>36</v>
      </c>
      <c r="V9" s="7" t="s">
        <v>58</v>
      </c>
      <c r="W9" s="7" t="s">
        <v>36</v>
      </c>
      <c r="X9" s="7" t="s">
        <v>56</v>
      </c>
      <c r="Y9" s="7" t="s">
        <v>56</v>
      </c>
      <c r="Z9" s="7" t="s">
        <v>57</v>
      </c>
      <c r="AA9" s="7" t="s">
        <v>36</v>
      </c>
      <c r="AB9" s="7" t="s">
        <v>36</v>
      </c>
      <c r="AC9" s="7" t="s">
        <v>58</v>
      </c>
      <c r="AD9" s="7" t="s">
        <v>36</v>
      </c>
      <c r="AE9" s="7" t="s">
        <v>36</v>
      </c>
      <c r="AF9" s="7" t="s">
        <v>36</v>
      </c>
      <c r="AG9" s="7" t="s">
        <v>36</v>
      </c>
      <c r="AH9" s="7" t="s">
        <v>36</v>
      </c>
      <c r="AI9" s="7" t="s">
        <v>36</v>
      </c>
      <c r="AJ9" s="7" t="s">
        <v>58</v>
      </c>
      <c r="AK9" s="7" t="s">
        <v>36</v>
      </c>
      <c r="AL9" s="7" t="s">
        <v>36</v>
      </c>
      <c r="AM9" s="7" t="s">
        <v>56</v>
      </c>
      <c r="AN9" s="7" t="s">
        <v>56</v>
      </c>
      <c r="AO9" s="7" t="s">
        <v>57</v>
      </c>
      <c r="AP9" s="5"/>
      <c r="AQ9" s="5"/>
      <c r="AR9" s="7">
        <v>2</v>
      </c>
      <c r="AS9" s="7" t="s">
        <v>38</v>
      </c>
      <c r="AT9" s="7" t="s">
        <v>62</v>
      </c>
      <c r="AU9" s="7">
        <v>1002</v>
      </c>
      <c r="AV9" s="30">
        <f t="shared" si="2"/>
        <v>17</v>
      </c>
      <c r="AW9" s="30">
        <f>COUNTIF($K9:$AO9,"A")</f>
        <v>7</v>
      </c>
      <c r="AX9" s="35">
        <f t="shared" si="3"/>
        <v>3</v>
      </c>
      <c r="AY9" s="31">
        <f t="shared" si="4"/>
        <v>4</v>
      </c>
      <c r="AZ9" s="31">
        <f t="shared" ref="AZ9:AZ27" si="6">($M$5-$H$5)+1</f>
        <v>31</v>
      </c>
      <c r="BA9" s="32">
        <f>Table1[[#This Row],[Days]]-Table1[[#This Row],[Absent]]</f>
        <v>24</v>
      </c>
      <c r="BB9" s="33">
        <v>4600</v>
      </c>
      <c r="BC9" s="36">
        <f>Table1[[#This Row],[Salary]]/Table1[[#This Row],[Days]]</f>
        <v>148.38709677419354</v>
      </c>
      <c r="BD9" s="34">
        <f>Table1[[#This Row],[Per Day Salary]]*Table1[[#This Row],[Absent]]</f>
        <v>1038.7096774193546</v>
      </c>
      <c r="BE9" s="33">
        <f>Table1[[#This Row],[Salary]]-Table1[[#This Row],[Deduction ]]</f>
        <v>3561.2903225806454</v>
      </c>
      <c r="BF9" s="5"/>
      <c r="BG9" s="5"/>
      <c r="BH9" s="5"/>
      <c r="BI9" s="5"/>
      <c r="BJ9" s="5"/>
      <c r="BK9" s="5"/>
      <c r="BL9" s="5"/>
    </row>
    <row r="10" spans="6:66" x14ac:dyDescent="0.35">
      <c r="G10" s="7">
        <v>3</v>
      </c>
      <c r="H10" s="49" t="s">
        <v>39</v>
      </c>
      <c r="I10" s="7">
        <v>1003</v>
      </c>
      <c r="J10" s="15">
        <f t="shared" si="5"/>
        <v>4</v>
      </c>
      <c r="K10" s="7" t="s">
        <v>36</v>
      </c>
      <c r="L10" s="7" t="s">
        <v>36</v>
      </c>
      <c r="M10" s="7" t="s">
        <v>36</v>
      </c>
      <c r="N10" s="7" t="s">
        <v>36</v>
      </c>
      <c r="O10" s="7" t="s">
        <v>58</v>
      </c>
      <c r="P10" s="7" t="s">
        <v>36</v>
      </c>
      <c r="Q10" s="7" t="s">
        <v>56</v>
      </c>
      <c r="R10" s="7" t="s">
        <v>56</v>
      </c>
      <c r="S10" s="7" t="s">
        <v>56</v>
      </c>
      <c r="T10" s="7" t="s">
        <v>57</v>
      </c>
      <c r="U10" s="7" t="s">
        <v>36</v>
      </c>
      <c r="V10" s="7" t="s">
        <v>58</v>
      </c>
      <c r="W10" s="7" t="s">
        <v>36</v>
      </c>
      <c r="X10" s="7" t="s">
        <v>56</v>
      </c>
      <c r="Y10" s="7" t="s">
        <v>56</v>
      </c>
      <c r="Z10" s="7" t="s">
        <v>57</v>
      </c>
      <c r="AA10" s="7" t="s">
        <v>36</v>
      </c>
      <c r="AB10" s="7" t="s">
        <v>36</v>
      </c>
      <c r="AC10" s="7" t="s">
        <v>58</v>
      </c>
      <c r="AD10" s="7" t="s">
        <v>36</v>
      </c>
      <c r="AE10" s="7" t="s">
        <v>36</v>
      </c>
      <c r="AF10" s="7" t="s">
        <v>36</v>
      </c>
      <c r="AG10" s="7" t="s">
        <v>36</v>
      </c>
      <c r="AH10" s="7" t="s">
        <v>36</v>
      </c>
      <c r="AI10" s="7" t="s">
        <v>36</v>
      </c>
      <c r="AJ10" s="7" t="s">
        <v>58</v>
      </c>
      <c r="AK10" s="7" t="s">
        <v>36</v>
      </c>
      <c r="AL10" s="7" t="s">
        <v>36</v>
      </c>
      <c r="AM10" s="7" t="s">
        <v>56</v>
      </c>
      <c r="AN10" s="7" t="s">
        <v>56</v>
      </c>
      <c r="AO10" s="7" t="s">
        <v>57</v>
      </c>
      <c r="AP10" s="5"/>
      <c r="AQ10" s="5"/>
      <c r="AR10" s="7">
        <v>3</v>
      </c>
      <c r="AS10" s="7" t="s">
        <v>39</v>
      </c>
      <c r="AT10" s="7" t="s">
        <v>62</v>
      </c>
      <c r="AU10" s="7">
        <v>1003</v>
      </c>
      <c r="AV10" s="30">
        <f t="shared" si="2"/>
        <v>17</v>
      </c>
      <c r="AW10" s="30">
        <f t="shared" ref="AW10:AW27" si="7">COUNTIF($K10:$AO10,"A")</f>
        <v>7</v>
      </c>
      <c r="AX10" s="30">
        <f t="shared" si="3"/>
        <v>3</v>
      </c>
      <c r="AY10" s="31">
        <f t="shared" si="4"/>
        <v>4</v>
      </c>
      <c r="AZ10" s="31">
        <f t="shared" si="6"/>
        <v>31</v>
      </c>
      <c r="BA10" s="32">
        <f>Table1[[#This Row],[Days]]-Table1[[#This Row],[Absent]]</f>
        <v>24</v>
      </c>
      <c r="BB10" s="33">
        <v>4700</v>
      </c>
      <c r="BC10" s="36">
        <f>Table1[[#This Row],[Salary]]/Table1[[#This Row],[Days]]</f>
        <v>151.61290322580646</v>
      </c>
      <c r="BD10" s="34">
        <f>Table1[[#This Row],[Per Day Salary]]*Table1[[#This Row],[Absent]]</f>
        <v>1061.2903225806454</v>
      </c>
      <c r="BE10" s="33">
        <f>Table1[[#This Row],[Salary]]-Table1[[#This Row],[Deduction ]]</f>
        <v>3638.7096774193546</v>
      </c>
      <c r="BF10" s="5"/>
      <c r="BG10" s="5"/>
      <c r="BH10" s="5"/>
      <c r="BI10" s="5"/>
      <c r="BJ10" s="5"/>
      <c r="BK10" s="5"/>
      <c r="BL10" s="5"/>
    </row>
    <row r="11" spans="6:66" x14ac:dyDescent="0.35">
      <c r="G11" s="7">
        <v>4</v>
      </c>
      <c r="H11" s="49" t="s">
        <v>59</v>
      </c>
      <c r="I11" s="7">
        <v>1004</v>
      </c>
      <c r="J11" s="15">
        <f t="shared" si="5"/>
        <v>4</v>
      </c>
      <c r="K11" s="7" t="s">
        <v>36</v>
      </c>
      <c r="L11" s="7" t="s">
        <v>36</v>
      </c>
      <c r="M11" s="7" t="s">
        <v>36</v>
      </c>
      <c r="N11" s="7" t="s">
        <v>36</v>
      </c>
      <c r="O11" s="7" t="s">
        <v>58</v>
      </c>
      <c r="P11" s="7" t="s">
        <v>36</v>
      </c>
      <c r="Q11" s="7" t="s">
        <v>56</v>
      </c>
      <c r="R11" s="7" t="s">
        <v>56</v>
      </c>
      <c r="S11" s="7" t="s">
        <v>56</v>
      </c>
      <c r="T11" s="7" t="s">
        <v>57</v>
      </c>
      <c r="U11" s="7" t="s">
        <v>36</v>
      </c>
      <c r="V11" s="7" t="s">
        <v>58</v>
      </c>
      <c r="W11" s="7" t="s">
        <v>36</v>
      </c>
      <c r="X11" s="7" t="s">
        <v>56</v>
      </c>
      <c r="Y11" s="7" t="s">
        <v>56</v>
      </c>
      <c r="Z11" s="7" t="s">
        <v>57</v>
      </c>
      <c r="AA11" s="7" t="s">
        <v>36</v>
      </c>
      <c r="AB11" s="7" t="s">
        <v>36</v>
      </c>
      <c r="AC11" s="7" t="s">
        <v>58</v>
      </c>
      <c r="AD11" s="7" t="s">
        <v>36</v>
      </c>
      <c r="AE11" s="7" t="s">
        <v>36</v>
      </c>
      <c r="AF11" s="7" t="s">
        <v>36</v>
      </c>
      <c r="AG11" s="7" t="s">
        <v>36</v>
      </c>
      <c r="AH11" s="7" t="s">
        <v>36</v>
      </c>
      <c r="AI11" s="7" t="s">
        <v>36</v>
      </c>
      <c r="AJ11" s="7" t="s">
        <v>58</v>
      </c>
      <c r="AK11" s="7" t="s">
        <v>36</v>
      </c>
      <c r="AL11" s="7" t="s">
        <v>36</v>
      </c>
      <c r="AM11" s="7" t="s">
        <v>56</v>
      </c>
      <c r="AN11" s="7" t="s">
        <v>56</v>
      </c>
      <c r="AO11" s="7" t="s">
        <v>57</v>
      </c>
      <c r="AP11" s="5"/>
      <c r="AQ11" s="5"/>
      <c r="AR11" s="7">
        <v>4</v>
      </c>
      <c r="AS11" s="7" t="s">
        <v>59</v>
      </c>
      <c r="AT11" s="7" t="s">
        <v>62</v>
      </c>
      <c r="AU11" s="7">
        <v>1004</v>
      </c>
      <c r="AV11" s="30">
        <f t="shared" si="2"/>
        <v>17</v>
      </c>
      <c r="AW11" s="30">
        <f t="shared" si="7"/>
        <v>7</v>
      </c>
      <c r="AX11" s="30">
        <f t="shared" si="3"/>
        <v>3</v>
      </c>
      <c r="AY11" s="31">
        <f t="shared" si="4"/>
        <v>4</v>
      </c>
      <c r="AZ11" s="31">
        <f t="shared" si="6"/>
        <v>31</v>
      </c>
      <c r="BA11" s="32">
        <f>Table1[[#This Row],[Days]]-Table1[[#This Row],[Absent]]</f>
        <v>24</v>
      </c>
      <c r="BB11" s="33">
        <v>4800</v>
      </c>
      <c r="BC11" s="36">
        <f>Table1[[#This Row],[Salary]]/Table1[[#This Row],[Days]]</f>
        <v>154.83870967741936</v>
      </c>
      <c r="BD11" s="34">
        <f>Table1[[#This Row],[Per Day Salary]]*Table1[[#This Row],[Absent]]</f>
        <v>1083.8709677419356</v>
      </c>
      <c r="BE11" s="33">
        <f>Table1[[#This Row],[Salary]]-Table1[[#This Row],[Deduction ]]</f>
        <v>3716.1290322580644</v>
      </c>
      <c r="BF11" s="5"/>
      <c r="BG11" s="5"/>
      <c r="BH11" s="5"/>
      <c r="BI11" s="5"/>
      <c r="BJ11" s="5"/>
      <c r="BK11" s="5"/>
      <c r="BL11" s="5"/>
    </row>
    <row r="12" spans="6:66" x14ac:dyDescent="0.35">
      <c r="G12" s="7">
        <v>5</v>
      </c>
      <c r="H12" s="49" t="s">
        <v>40</v>
      </c>
      <c r="I12" s="7">
        <v>1005</v>
      </c>
      <c r="J12" s="15">
        <f t="shared" si="5"/>
        <v>4</v>
      </c>
      <c r="K12" s="7" t="s">
        <v>36</v>
      </c>
      <c r="L12" s="7" t="s">
        <v>36</v>
      </c>
      <c r="M12" s="7" t="s">
        <v>36</v>
      </c>
      <c r="N12" s="7" t="s">
        <v>36</v>
      </c>
      <c r="O12" s="7" t="s">
        <v>58</v>
      </c>
      <c r="P12" s="7" t="s">
        <v>36</v>
      </c>
      <c r="Q12" s="7" t="s">
        <v>56</v>
      </c>
      <c r="R12" s="7" t="s">
        <v>56</v>
      </c>
      <c r="S12" s="7" t="s">
        <v>56</v>
      </c>
      <c r="T12" s="7" t="s">
        <v>57</v>
      </c>
      <c r="U12" s="7" t="s">
        <v>36</v>
      </c>
      <c r="V12" s="7" t="s">
        <v>58</v>
      </c>
      <c r="W12" s="7" t="s">
        <v>36</v>
      </c>
      <c r="X12" s="7" t="s">
        <v>56</v>
      </c>
      <c r="Y12" s="7" t="s">
        <v>56</v>
      </c>
      <c r="Z12" s="7" t="s">
        <v>57</v>
      </c>
      <c r="AA12" s="7" t="s">
        <v>36</v>
      </c>
      <c r="AB12" s="7" t="s">
        <v>36</v>
      </c>
      <c r="AC12" s="7" t="s">
        <v>58</v>
      </c>
      <c r="AD12" s="7" t="s">
        <v>36</v>
      </c>
      <c r="AE12" s="7" t="s">
        <v>36</v>
      </c>
      <c r="AF12" s="7" t="s">
        <v>36</v>
      </c>
      <c r="AG12" s="7" t="s">
        <v>36</v>
      </c>
      <c r="AH12" s="7" t="s">
        <v>36</v>
      </c>
      <c r="AI12" s="7" t="s">
        <v>36</v>
      </c>
      <c r="AJ12" s="7" t="s">
        <v>58</v>
      </c>
      <c r="AK12" s="7" t="s">
        <v>36</v>
      </c>
      <c r="AL12" s="7" t="s">
        <v>36</v>
      </c>
      <c r="AM12" s="7" t="s">
        <v>56</v>
      </c>
      <c r="AN12" s="7" t="s">
        <v>56</v>
      </c>
      <c r="AO12" s="7" t="s">
        <v>57</v>
      </c>
      <c r="AP12" s="5"/>
      <c r="AQ12" s="5"/>
      <c r="AR12" s="7">
        <v>5</v>
      </c>
      <c r="AS12" s="7" t="s">
        <v>40</v>
      </c>
      <c r="AT12" s="7" t="s">
        <v>62</v>
      </c>
      <c r="AU12" s="7">
        <v>1005</v>
      </c>
      <c r="AV12" s="30">
        <f t="shared" si="2"/>
        <v>17</v>
      </c>
      <c r="AW12" s="30">
        <f t="shared" si="7"/>
        <v>7</v>
      </c>
      <c r="AX12" s="30">
        <f t="shared" si="3"/>
        <v>3</v>
      </c>
      <c r="AY12" s="31">
        <f t="shared" si="4"/>
        <v>4</v>
      </c>
      <c r="AZ12" s="31">
        <f t="shared" si="6"/>
        <v>31</v>
      </c>
      <c r="BA12" s="32">
        <f>Table1[[#This Row],[Days]]-Table1[[#This Row],[Absent]]</f>
        <v>24</v>
      </c>
      <c r="BB12" s="33">
        <v>4900</v>
      </c>
      <c r="BC12" s="36">
        <f>Table1[[#This Row],[Salary]]/Table1[[#This Row],[Days]]</f>
        <v>158.06451612903226</v>
      </c>
      <c r="BD12" s="34">
        <f>Table1[[#This Row],[Per Day Salary]]*Table1[[#This Row],[Absent]]</f>
        <v>1106.4516129032259</v>
      </c>
      <c r="BE12" s="33">
        <f>Table1[[#This Row],[Salary]]-Table1[[#This Row],[Deduction ]]</f>
        <v>3793.5483870967741</v>
      </c>
      <c r="BF12" s="5"/>
      <c r="BG12" s="5"/>
      <c r="BH12" s="5"/>
      <c r="BI12" s="5"/>
      <c r="BJ12" s="5"/>
      <c r="BK12" s="5"/>
      <c r="BL12" s="5"/>
    </row>
    <row r="13" spans="6:66" x14ac:dyDescent="0.35">
      <c r="G13" s="7">
        <v>6</v>
      </c>
      <c r="H13" s="49" t="s">
        <v>41</v>
      </c>
      <c r="I13" s="7">
        <v>1006</v>
      </c>
      <c r="J13" s="15">
        <f t="shared" si="5"/>
        <v>4</v>
      </c>
      <c r="K13" s="7" t="s">
        <v>36</v>
      </c>
      <c r="L13" s="7" t="s">
        <v>36</v>
      </c>
      <c r="M13" s="7" t="s">
        <v>36</v>
      </c>
      <c r="N13" s="7" t="s">
        <v>36</v>
      </c>
      <c r="O13" s="7" t="s">
        <v>58</v>
      </c>
      <c r="P13" s="7" t="s">
        <v>36</v>
      </c>
      <c r="Q13" s="7" t="s">
        <v>56</v>
      </c>
      <c r="R13" s="7" t="s">
        <v>56</v>
      </c>
      <c r="S13" s="7" t="s">
        <v>56</v>
      </c>
      <c r="T13" s="7" t="s">
        <v>57</v>
      </c>
      <c r="U13" s="7" t="s">
        <v>36</v>
      </c>
      <c r="V13" s="7" t="s">
        <v>58</v>
      </c>
      <c r="W13" s="7" t="s">
        <v>36</v>
      </c>
      <c r="X13" s="7" t="s">
        <v>56</v>
      </c>
      <c r="Y13" s="7" t="s">
        <v>56</v>
      </c>
      <c r="Z13" s="7" t="s">
        <v>57</v>
      </c>
      <c r="AA13" s="7" t="s">
        <v>36</v>
      </c>
      <c r="AB13" s="7" t="s">
        <v>36</v>
      </c>
      <c r="AC13" s="7" t="s">
        <v>58</v>
      </c>
      <c r="AD13" s="7" t="s">
        <v>36</v>
      </c>
      <c r="AE13" s="7" t="s">
        <v>36</v>
      </c>
      <c r="AF13" s="7" t="s">
        <v>36</v>
      </c>
      <c r="AG13" s="7" t="s">
        <v>36</v>
      </c>
      <c r="AH13" s="7" t="s">
        <v>36</v>
      </c>
      <c r="AI13" s="7" t="s">
        <v>36</v>
      </c>
      <c r="AJ13" s="7" t="s">
        <v>58</v>
      </c>
      <c r="AK13" s="7" t="s">
        <v>36</v>
      </c>
      <c r="AL13" s="7" t="s">
        <v>36</v>
      </c>
      <c r="AM13" s="7" t="s">
        <v>56</v>
      </c>
      <c r="AN13" s="7" t="s">
        <v>56</v>
      </c>
      <c r="AO13" s="7" t="s">
        <v>57</v>
      </c>
      <c r="AP13" s="5"/>
      <c r="AQ13" s="5"/>
      <c r="AR13" s="7">
        <v>6</v>
      </c>
      <c r="AS13" s="7" t="s">
        <v>41</v>
      </c>
      <c r="AT13" s="7" t="s">
        <v>62</v>
      </c>
      <c r="AU13" s="7">
        <v>1006</v>
      </c>
      <c r="AV13" s="30">
        <f t="shared" si="2"/>
        <v>17</v>
      </c>
      <c r="AW13" s="30">
        <f t="shared" si="7"/>
        <v>7</v>
      </c>
      <c r="AX13" s="30">
        <f t="shared" si="3"/>
        <v>3</v>
      </c>
      <c r="AY13" s="31">
        <f t="shared" si="4"/>
        <v>4</v>
      </c>
      <c r="AZ13" s="31">
        <f t="shared" si="6"/>
        <v>31</v>
      </c>
      <c r="BA13" s="32">
        <f>Table1[[#This Row],[Days]]-Table1[[#This Row],[Absent]]</f>
        <v>24</v>
      </c>
      <c r="BB13" s="33">
        <v>5000</v>
      </c>
      <c r="BC13" s="36">
        <f>Table1[[#This Row],[Salary]]/Table1[[#This Row],[Days]]</f>
        <v>161.29032258064515</v>
      </c>
      <c r="BD13" s="34">
        <f>Table1[[#This Row],[Per Day Salary]]*Table1[[#This Row],[Absent]]</f>
        <v>1129.0322580645161</v>
      </c>
      <c r="BE13" s="33">
        <f>Table1[[#This Row],[Salary]]-Table1[[#This Row],[Deduction ]]</f>
        <v>3870.9677419354839</v>
      </c>
      <c r="BF13" s="5"/>
      <c r="BG13" s="5"/>
      <c r="BH13" s="5"/>
      <c r="BI13" s="5"/>
      <c r="BJ13" s="5"/>
      <c r="BK13" s="5"/>
      <c r="BL13" s="5"/>
    </row>
    <row r="14" spans="6:66" x14ac:dyDescent="0.35">
      <c r="G14" s="7">
        <v>7</v>
      </c>
      <c r="H14" s="49" t="s">
        <v>42</v>
      </c>
      <c r="I14" s="7">
        <v>1007</v>
      </c>
      <c r="J14" s="15">
        <f t="shared" si="5"/>
        <v>4</v>
      </c>
      <c r="K14" s="7" t="s">
        <v>36</v>
      </c>
      <c r="L14" s="7" t="s">
        <v>36</v>
      </c>
      <c r="M14" s="7" t="s">
        <v>36</v>
      </c>
      <c r="N14" s="7" t="s">
        <v>36</v>
      </c>
      <c r="O14" s="7" t="s">
        <v>58</v>
      </c>
      <c r="P14" s="7" t="s">
        <v>36</v>
      </c>
      <c r="Q14" s="7" t="s">
        <v>56</v>
      </c>
      <c r="R14" s="7" t="s">
        <v>56</v>
      </c>
      <c r="S14" s="7" t="s">
        <v>56</v>
      </c>
      <c r="T14" s="7" t="s">
        <v>57</v>
      </c>
      <c r="U14" s="7" t="s">
        <v>36</v>
      </c>
      <c r="V14" s="7" t="s">
        <v>58</v>
      </c>
      <c r="W14" s="7" t="s">
        <v>36</v>
      </c>
      <c r="X14" s="7" t="s">
        <v>56</v>
      </c>
      <c r="Y14" s="7" t="s">
        <v>56</v>
      </c>
      <c r="Z14" s="7" t="s">
        <v>57</v>
      </c>
      <c r="AA14" s="7" t="s">
        <v>36</v>
      </c>
      <c r="AB14" s="7" t="s">
        <v>36</v>
      </c>
      <c r="AC14" s="7" t="s">
        <v>58</v>
      </c>
      <c r="AD14" s="7" t="s">
        <v>36</v>
      </c>
      <c r="AE14" s="7" t="s">
        <v>36</v>
      </c>
      <c r="AF14" s="7" t="s">
        <v>36</v>
      </c>
      <c r="AG14" s="7" t="s">
        <v>36</v>
      </c>
      <c r="AH14" s="7" t="s">
        <v>36</v>
      </c>
      <c r="AI14" s="7" t="s">
        <v>36</v>
      </c>
      <c r="AJ14" s="7" t="s">
        <v>58</v>
      </c>
      <c r="AK14" s="7" t="s">
        <v>36</v>
      </c>
      <c r="AL14" s="7" t="s">
        <v>36</v>
      </c>
      <c r="AM14" s="7" t="s">
        <v>56</v>
      </c>
      <c r="AN14" s="7" t="s">
        <v>56</v>
      </c>
      <c r="AO14" s="7" t="s">
        <v>57</v>
      </c>
      <c r="AR14" s="7">
        <v>7</v>
      </c>
      <c r="AS14" s="7" t="s">
        <v>42</v>
      </c>
      <c r="AT14" s="7" t="s">
        <v>62</v>
      </c>
      <c r="AU14" s="7">
        <v>1007</v>
      </c>
      <c r="AV14" s="30">
        <f t="shared" si="2"/>
        <v>17</v>
      </c>
      <c r="AW14" s="30">
        <f t="shared" si="7"/>
        <v>7</v>
      </c>
      <c r="AX14" s="30">
        <f t="shared" si="3"/>
        <v>3</v>
      </c>
      <c r="AY14" s="31">
        <f t="shared" si="4"/>
        <v>4</v>
      </c>
      <c r="AZ14" s="31">
        <f t="shared" si="6"/>
        <v>31</v>
      </c>
      <c r="BA14" s="32">
        <f>Table1[[#This Row],[Days]]-Table1[[#This Row],[Absent]]</f>
        <v>24</v>
      </c>
      <c r="BB14" s="33">
        <v>5100</v>
      </c>
      <c r="BC14" s="36">
        <f>Table1[[#This Row],[Salary]]/Table1[[#This Row],[Days]]</f>
        <v>164.51612903225808</v>
      </c>
      <c r="BD14" s="34">
        <f>Table1[[#This Row],[Per Day Salary]]*Table1[[#This Row],[Absent]]</f>
        <v>1151.6129032258066</v>
      </c>
      <c r="BE14" s="33">
        <f>Table1[[#This Row],[Salary]]-Table1[[#This Row],[Deduction ]]</f>
        <v>3948.3870967741932</v>
      </c>
    </row>
    <row r="15" spans="6:66" x14ac:dyDescent="0.35">
      <c r="G15" s="7">
        <v>8</v>
      </c>
      <c r="H15" s="49" t="s">
        <v>43</v>
      </c>
      <c r="I15" s="7">
        <v>1008</v>
      </c>
      <c r="J15" s="15">
        <f t="shared" si="5"/>
        <v>4</v>
      </c>
      <c r="K15" s="7" t="s">
        <v>36</v>
      </c>
      <c r="L15" s="7" t="s">
        <v>36</v>
      </c>
      <c r="M15" s="7" t="s">
        <v>36</v>
      </c>
      <c r="N15" s="7" t="s">
        <v>36</v>
      </c>
      <c r="O15" s="7" t="s">
        <v>58</v>
      </c>
      <c r="P15" s="7" t="s">
        <v>36</v>
      </c>
      <c r="Q15" s="7" t="s">
        <v>56</v>
      </c>
      <c r="R15" s="7" t="s">
        <v>56</v>
      </c>
      <c r="S15" s="7" t="s">
        <v>56</v>
      </c>
      <c r="T15" s="7" t="s">
        <v>57</v>
      </c>
      <c r="U15" s="7" t="s">
        <v>36</v>
      </c>
      <c r="V15" s="7" t="s">
        <v>58</v>
      </c>
      <c r="W15" s="7" t="s">
        <v>36</v>
      </c>
      <c r="X15" s="7" t="s">
        <v>56</v>
      </c>
      <c r="Y15" s="7" t="s">
        <v>56</v>
      </c>
      <c r="Z15" s="7" t="s">
        <v>57</v>
      </c>
      <c r="AA15" s="7" t="s">
        <v>36</v>
      </c>
      <c r="AB15" s="7" t="s">
        <v>36</v>
      </c>
      <c r="AC15" s="7" t="s">
        <v>58</v>
      </c>
      <c r="AD15" s="7" t="s">
        <v>36</v>
      </c>
      <c r="AE15" s="7" t="s">
        <v>36</v>
      </c>
      <c r="AF15" s="7" t="s">
        <v>36</v>
      </c>
      <c r="AG15" s="7" t="s">
        <v>36</v>
      </c>
      <c r="AH15" s="7" t="s">
        <v>36</v>
      </c>
      <c r="AI15" s="7" t="s">
        <v>36</v>
      </c>
      <c r="AJ15" s="7" t="s">
        <v>58</v>
      </c>
      <c r="AK15" s="7" t="s">
        <v>36</v>
      </c>
      <c r="AL15" s="7" t="s">
        <v>36</v>
      </c>
      <c r="AM15" s="7" t="s">
        <v>56</v>
      </c>
      <c r="AN15" s="7" t="s">
        <v>56</v>
      </c>
      <c r="AO15" s="7" t="s">
        <v>57</v>
      </c>
      <c r="AR15" s="7">
        <v>8</v>
      </c>
      <c r="AS15" s="7" t="s">
        <v>43</v>
      </c>
      <c r="AT15" s="7" t="s">
        <v>62</v>
      </c>
      <c r="AU15" s="7">
        <v>1008</v>
      </c>
      <c r="AV15" s="30">
        <f t="shared" si="2"/>
        <v>17</v>
      </c>
      <c r="AW15" s="30">
        <f t="shared" si="7"/>
        <v>7</v>
      </c>
      <c r="AX15" s="30">
        <f t="shared" si="3"/>
        <v>3</v>
      </c>
      <c r="AY15" s="31">
        <f t="shared" si="4"/>
        <v>4</v>
      </c>
      <c r="AZ15" s="31">
        <f t="shared" si="6"/>
        <v>31</v>
      </c>
      <c r="BA15" s="32">
        <f>Table1[[#This Row],[Days]]-Table1[[#This Row],[Absent]]</f>
        <v>24</v>
      </c>
      <c r="BB15" s="33">
        <v>5200</v>
      </c>
      <c r="BC15" s="36">
        <f>Table1[[#This Row],[Salary]]/Table1[[#This Row],[Days]]</f>
        <v>167.74193548387098</v>
      </c>
      <c r="BD15" s="34">
        <f>Table1[[#This Row],[Per Day Salary]]*Table1[[#This Row],[Absent]]</f>
        <v>1174.1935483870968</v>
      </c>
      <c r="BE15" s="33">
        <f>Table1[[#This Row],[Salary]]-Table1[[#This Row],[Deduction ]]</f>
        <v>4025.8064516129034</v>
      </c>
    </row>
    <row r="16" spans="6:66" ht="12" customHeight="1" thickBot="1" x14ac:dyDescent="0.4">
      <c r="G16" s="27">
        <v>9</v>
      </c>
      <c r="H16" s="49" t="s">
        <v>44</v>
      </c>
      <c r="I16" s="7">
        <v>1009</v>
      </c>
      <c r="J16" s="15">
        <f t="shared" si="5"/>
        <v>4</v>
      </c>
      <c r="K16" s="7" t="s">
        <v>36</v>
      </c>
      <c r="L16" s="7" t="s">
        <v>36</v>
      </c>
      <c r="M16" s="7" t="s">
        <v>36</v>
      </c>
      <c r="N16" s="7" t="s">
        <v>36</v>
      </c>
      <c r="O16" s="7" t="s">
        <v>58</v>
      </c>
      <c r="P16" s="7" t="s">
        <v>36</v>
      </c>
      <c r="Q16" s="7" t="s">
        <v>56</v>
      </c>
      <c r="R16" s="7" t="s">
        <v>56</v>
      </c>
      <c r="S16" s="7" t="s">
        <v>56</v>
      </c>
      <c r="T16" s="7" t="s">
        <v>57</v>
      </c>
      <c r="U16" s="7" t="s">
        <v>36</v>
      </c>
      <c r="V16" s="7" t="s">
        <v>58</v>
      </c>
      <c r="W16" s="7" t="s">
        <v>36</v>
      </c>
      <c r="X16" s="7" t="s">
        <v>56</v>
      </c>
      <c r="Y16" s="7" t="s">
        <v>56</v>
      </c>
      <c r="Z16" s="7" t="s">
        <v>57</v>
      </c>
      <c r="AA16" s="7" t="s">
        <v>36</v>
      </c>
      <c r="AB16" s="7" t="s">
        <v>36</v>
      </c>
      <c r="AC16" s="7" t="s">
        <v>58</v>
      </c>
      <c r="AD16" s="7" t="s">
        <v>36</v>
      </c>
      <c r="AE16" s="7" t="s">
        <v>36</v>
      </c>
      <c r="AF16" s="7" t="s">
        <v>36</v>
      </c>
      <c r="AG16" s="7" t="s">
        <v>36</v>
      </c>
      <c r="AH16" s="7" t="s">
        <v>36</v>
      </c>
      <c r="AI16" s="7" t="s">
        <v>36</v>
      </c>
      <c r="AJ16" s="7" t="s">
        <v>58</v>
      </c>
      <c r="AK16" s="7" t="s">
        <v>36</v>
      </c>
      <c r="AL16" s="7" t="s">
        <v>36</v>
      </c>
      <c r="AM16" s="7" t="s">
        <v>56</v>
      </c>
      <c r="AN16" s="7" t="s">
        <v>56</v>
      </c>
      <c r="AO16" s="7" t="s">
        <v>57</v>
      </c>
      <c r="AR16" s="7">
        <v>9</v>
      </c>
      <c r="AS16" s="7" t="s">
        <v>44</v>
      </c>
      <c r="AT16" s="7" t="s">
        <v>62</v>
      </c>
      <c r="AU16" s="7">
        <v>1009</v>
      </c>
      <c r="AV16" s="30">
        <f t="shared" si="2"/>
        <v>17</v>
      </c>
      <c r="AW16" s="30">
        <f t="shared" si="7"/>
        <v>7</v>
      </c>
      <c r="AX16" s="30">
        <f t="shared" si="3"/>
        <v>3</v>
      </c>
      <c r="AY16" s="31">
        <f t="shared" si="4"/>
        <v>4</v>
      </c>
      <c r="AZ16" s="31">
        <f t="shared" si="6"/>
        <v>31</v>
      </c>
      <c r="BA16" s="32">
        <f>Table1[[#This Row],[Days]]-Table1[[#This Row],[Absent]]</f>
        <v>24</v>
      </c>
      <c r="BB16" s="33">
        <v>5300</v>
      </c>
      <c r="BC16" s="36">
        <f>Table1[[#This Row],[Salary]]/Table1[[#This Row],[Days]]</f>
        <v>170.96774193548387</v>
      </c>
      <c r="BD16" s="34">
        <f>Table1[[#This Row],[Per Day Salary]]*Table1[[#This Row],[Absent]]</f>
        <v>1196.7741935483871</v>
      </c>
      <c r="BE16" s="33">
        <f>Table1[[#This Row],[Salary]]-Table1[[#This Row],[Deduction ]]</f>
        <v>4103.2258064516127</v>
      </c>
    </row>
    <row r="17" spans="7:60" ht="12" customHeight="1" thickBot="1" x14ac:dyDescent="0.4">
      <c r="G17" s="7">
        <v>10</v>
      </c>
      <c r="H17" s="49" t="s">
        <v>45</v>
      </c>
      <c r="I17" s="7">
        <v>1010</v>
      </c>
      <c r="J17" s="15">
        <f t="shared" si="5"/>
        <v>4</v>
      </c>
      <c r="K17" s="7" t="s">
        <v>36</v>
      </c>
      <c r="L17" s="7" t="s">
        <v>36</v>
      </c>
      <c r="M17" s="7" t="s">
        <v>36</v>
      </c>
      <c r="N17" s="7" t="s">
        <v>36</v>
      </c>
      <c r="O17" s="7" t="s">
        <v>58</v>
      </c>
      <c r="P17" s="7" t="s">
        <v>36</v>
      </c>
      <c r="Q17" s="7" t="s">
        <v>56</v>
      </c>
      <c r="R17" s="7" t="s">
        <v>56</v>
      </c>
      <c r="S17" s="7" t="s">
        <v>56</v>
      </c>
      <c r="T17" s="7" t="s">
        <v>57</v>
      </c>
      <c r="U17" s="7" t="s">
        <v>36</v>
      </c>
      <c r="V17" s="7" t="s">
        <v>58</v>
      </c>
      <c r="W17" s="7" t="s">
        <v>36</v>
      </c>
      <c r="X17" s="7" t="s">
        <v>56</v>
      </c>
      <c r="Y17" s="7" t="s">
        <v>56</v>
      </c>
      <c r="Z17" s="7" t="s">
        <v>57</v>
      </c>
      <c r="AA17" s="7" t="s">
        <v>36</v>
      </c>
      <c r="AB17" s="7" t="s">
        <v>36</v>
      </c>
      <c r="AC17" s="7" t="s">
        <v>58</v>
      </c>
      <c r="AD17" s="7" t="s">
        <v>36</v>
      </c>
      <c r="AE17" s="7" t="s">
        <v>36</v>
      </c>
      <c r="AF17" s="7" t="s">
        <v>36</v>
      </c>
      <c r="AG17" s="7" t="s">
        <v>36</v>
      </c>
      <c r="AH17" s="7" t="s">
        <v>36</v>
      </c>
      <c r="AI17" s="7" t="s">
        <v>36</v>
      </c>
      <c r="AJ17" s="7" t="s">
        <v>58</v>
      </c>
      <c r="AK17" s="7" t="s">
        <v>36</v>
      </c>
      <c r="AL17" s="7" t="s">
        <v>36</v>
      </c>
      <c r="AM17" s="7" t="s">
        <v>56</v>
      </c>
      <c r="AN17" s="7" t="s">
        <v>56</v>
      </c>
      <c r="AO17" s="7" t="s">
        <v>57</v>
      </c>
      <c r="AR17" s="7">
        <v>10</v>
      </c>
      <c r="AS17" s="7" t="s">
        <v>45</v>
      </c>
      <c r="AT17" s="7" t="s">
        <v>62</v>
      </c>
      <c r="AU17" s="7">
        <v>1010</v>
      </c>
      <c r="AV17" s="30">
        <f t="shared" si="2"/>
        <v>17</v>
      </c>
      <c r="AW17" s="30">
        <f t="shared" si="7"/>
        <v>7</v>
      </c>
      <c r="AX17" s="30">
        <f t="shared" si="3"/>
        <v>3</v>
      </c>
      <c r="AY17" s="31">
        <f t="shared" si="4"/>
        <v>4</v>
      </c>
      <c r="AZ17" s="31">
        <f t="shared" si="6"/>
        <v>31</v>
      </c>
      <c r="BA17" s="32">
        <f>Table1[[#This Row],[Days]]-Table1[[#This Row],[Absent]]</f>
        <v>24</v>
      </c>
      <c r="BB17" s="33">
        <v>5400</v>
      </c>
      <c r="BC17" s="36">
        <f>Table1[[#This Row],[Salary]]/Table1[[#This Row],[Days]]</f>
        <v>174.19354838709677</v>
      </c>
      <c r="BD17" s="34">
        <f>Table1[[#This Row],[Per Day Salary]]*Table1[[#This Row],[Absent]]</f>
        <v>1219.3548387096773</v>
      </c>
      <c r="BE17" s="33">
        <f>Table1[[#This Row],[Salary]]-Table1[[#This Row],[Deduction ]]</f>
        <v>4180.6451612903229</v>
      </c>
      <c r="BH17" s="19"/>
    </row>
    <row r="18" spans="7:60" x14ac:dyDescent="0.35">
      <c r="G18" s="7">
        <v>11</v>
      </c>
      <c r="H18" s="49" t="s">
        <v>46</v>
      </c>
      <c r="I18" s="7">
        <v>1011</v>
      </c>
      <c r="J18" s="15">
        <f t="shared" si="5"/>
        <v>4</v>
      </c>
      <c r="K18" s="7" t="s">
        <v>36</v>
      </c>
      <c r="L18" s="7" t="s">
        <v>36</v>
      </c>
      <c r="M18" s="7" t="s">
        <v>36</v>
      </c>
      <c r="N18" s="7" t="s">
        <v>36</v>
      </c>
      <c r="O18" s="7" t="s">
        <v>58</v>
      </c>
      <c r="P18" s="7" t="s">
        <v>36</v>
      </c>
      <c r="Q18" s="7" t="s">
        <v>56</v>
      </c>
      <c r="R18" s="7" t="s">
        <v>56</v>
      </c>
      <c r="S18" s="7" t="s">
        <v>56</v>
      </c>
      <c r="T18" s="7" t="s">
        <v>57</v>
      </c>
      <c r="U18" s="7" t="s">
        <v>36</v>
      </c>
      <c r="V18" s="7" t="s">
        <v>58</v>
      </c>
      <c r="W18" s="7" t="s">
        <v>36</v>
      </c>
      <c r="X18" s="7" t="s">
        <v>56</v>
      </c>
      <c r="Y18" s="7" t="s">
        <v>56</v>
      </c>
      <c r="Z18" s="7" t="s">
        <v>57</v>
      </c>
      <c r="AA18" s="7" t="s">
        <v>36</v>
      </c>
      <c r="AB18" s="7" t="s">
        <v>36</v>
      </c>
      <c r="AC18" s="7" t="s">
        <v>58</v>
      </c>
      <c r="AD18" s="7" t="s">
        <v>36</v>
      </c>
      <c r="AE18" s="7" t="s">
        <v>36</v>
      </c>
      <c r="AF18" s="7" t="s">
        <v>36</v>
      </c>
      <c r="AG18" s="7" t="s">
        <v>36</v>
      </c>
      <c r="AH18" s="7" t="s">
        <v>36</v>
      </c>
      <c r="AI18" s="7" t="s">
        <v>36</v>
      </c>
      <c r="AJ18" s="7" t="s">
        <v>58</v>
      </c>
      <c r="AK18" s="7" t="s">
        <v>36</v>
      </c>
      <c r="AL18" s="7" t="s">
        <v>36</v>
      </c>
      <c r="AM18" s="7" t="s">
        <v>56</v>
      </c>
      <c r="AN18" s="7" t="s">
        <v>56</v>
      </c>
      <c r="AO18" s="7" t="s">
        <v>57</v>
      </c>
      <c r="AR18" s="7">
        <v>11</v>
      </c>
      <c r="AS18" s="7" t="s">
        <v>46</v>
      </c>
      <c r="AT18" s="7" t="s">
        <v>62</v>
      </c>
      <c r="AU18" s="7">
        <v>1011</v>
      </c>
      <c r="AV18" s="30">
        <f t="shared" si="2"/>
        <v>17</v>
      </c>
      <c r="AW18" s="30">
        <f t="shared" si="7"/>
        <v>7</v>
      </c>
      <c r="AX18" s="30">
        <f t="shared" si="3"/>
        <v>3</v>
      </c>
      <c r="AY18" s="31">
        <f t="shared" si="4"/>
        <v>4</v>
      </c>
      <c r="AZ18" s="31">
        <f t="shared" si="6"/>
        <v>31</v>
      </c>
      <c r="BA18" s="32">
        <f>Table1[[#This Row],[Days]]-Table1[[#This Row],[Absent]]</f>
        <v>24</v>
      </c>
      <c r="BB18" s="33">
        <v>5500</v>
      </c>
      <c r="BC18" s="36">
        <f>Table1[[#This Row],[Salary]]/Table1[[#This Row],[Days]]</f>
        <v>177.41935483870967</v>
      </c>
      <c r="BD18" s="34">
        <f>Table1[[#This Row],[Per Day Salary]]*Table1[[#This Row],[Absent]]</f>
        <v>1241.9354838709676</v>
      </c>
      <c r="BE18" s="33">
        <f>Table1[[#This Row],[Salary]]-Table1[[#This Row],[Deduction ]]</f>
        <v>4258.0645161290322</v>
      </c>
    </row>
    <row r="19" spans="7:60" x14ac:dyDescent="0.35">
      <c r="G19" s="7">
        <v>12</v>
      </c>
      <c r="H19" s="49" t="s">
        <v>47</v>
      </c>
      <c r="I19" s="7">
        <v>1012</v>
      </c>
      <c r="J19" s="15">
        <f t="shared" si="5"/>
        <v>4</v>
      </c>
      <c r="K19" s="7" t="s">
        <v>36</v>
      </c>
      <c r="L19" s="7" t="s">
        <v>36</v>
      </c>
      <c r="M19" s="7" t="s">
        <v>36</v>
      </c>
      <c r="N19" s="7" t="s">
        <v>36</v>
      </c>
      <c r="O19" s="7" t="s">
        <v>58</v>
      </c>
      <c r="P19" s="7" t="s">
        <v>36</v>
      </c>
      <c r="Q19" s="7" t="s">
        <v>56</v>
      </c>
      <c r="R19" s="7" t="s">
        <v>56</v>
      </c>
      <c r="S19" s="7" t="s">
        <v>56</v>
      </c>
      <c r="T19" s="7" t="s">
        <v>57</v>
      </c>
      <c r="U19" s="7" t="s">
        <v>36</v>
      </c>
      <c r="V19" s="7" t="s">
        <v>58</v>
      </c>
      <c r="W19" s="7" t="s">
        <v>36</v>
      </c>
      <c r="X19" s="7" t="s">
        <v>56</v>
      </c>
      <c r="Y19" s="7" t="s">
        <v>56</v>
      </c>
      <c r="Z19" s="7" t="s">
        <v>57</v>
      </c>
      <c r="AA19" s="7" t="s">
        <v>36</v>
      </c>
      <c r="AB19" s="7" t="s">
        <v>36</v>
      </c>
      <c r="AC19" s="7" t="s">
        <v>58</v>
      </c>
      <c r="AD19" s="7" t="s">
        <v>36</v>
      </c>
      <c r="AE19" s="7" t="s">
        <v>36</v>
      </c>
      <c r="AF19" s="7" t="s">
        <v>36</v>
      </c>
      <c r="AG19" s="7" t="s">
        <v>36</v>
      </c>
      <c r="AH19" s="7" t="s">
        <v>36</v>
      </c>
      <c r="AI19" s="7" t="s">
        <v>36</v>
      </c>
      <c r="AJ19" s="7" t="s">
        <v>58</v>
      </c>
      <c r="AK19" s="7" t="s">
        <v>36</v>
      </c>
      <c r="AL19" s="7" t="s">
        <v>36</v>
      </c>
      <c r="AM19" s="7" t="s">
        <v>56</v>
      </c>
      <c r="AN19" s="7" t="s">
        <v>56</v>
      </c>
      <c r="AO19" s="7" t="s">
        <v>57</v>
      </c>
      <c r="AR19" s="7">
        <v>12</v>
      </c>
      <c r="AS19" s="7" t="s">
        <v>47</v>
      </c>
      <c r="AT19" s="7" t="s">
        <v>62</v>
      </c>
      <c r="AU19" s="7">
        <v>1012</v>
      </c>
      <c r="AV19" s="30">
        <f t="shared" si="2"/>
        <v>17</v>
      </c>
      <c r="AW19" s="30">
        <f t="shared" si="7"/>
        <v>7</v>
      </c>
      <c r="AX19" s="30">
        <f t="shared" si="3"/>
        <v>3</v>
      </c>
      <c r="AY19" s="31">
        <f t="shared" si="4"/>
        <v>4</v>
      </c>
      <c r="AZ19" s="31">
        <f t="shared" si="6"/>
        <v>31</v>
      </c>
      <c r="BA19" s="32">
        <f>Table1[[#This Row],[Days]]-Table1[[#This Row],[Absent]]</f>
        <v>24</v>
      </c>
      <c r="BB19" s="33">
        <v>5600</v>
      </c>
      <c r="BC19" s="36">
        <f>Table1[[#This Row],[Salary]]/Table1[[#This Row],[Days]]</f>
        <v>180.64516129032259</v>
      </c>
      <c r="BD19" s="34">
        <f>Table1[[#This Row],[Per Day Salary]]*Table1[[#This Row],[Absent]]</f>
        <v>1264.516129032258</v>
      </c>
      <c r="BE19" s="33">
        <f>Table1[[#This Row],[Salary]]-Table1[[#This Row],[Deduction ]]</f>
        <v>4335.4838709677424</v>
      </c>
    </row>
    <row r="20" spans="7:60" x14ac:dyDescent="0.35">
      <c r="G20" s="7">
        <v>13</v>
      </c>
      <c r="H20" s="49" t="s">
        <v>48</v>
      </c>
      <c r="I20" s="7">
        <v>1013</v>
      </c>
      <c r="J20" s="15">
        <f t="shared" si="5"/>
        <v>4</v>
      </c>
      <c r="K20" s="7" t="s">
        <v>36</v>
      </c>
      <c r="L20" s="7" t="s">
        <v>36</v>
      </c>
      <c r="M20" s="7" t="s">
        <v>36</v>
      </c>
      <c r="N20" s="7" t="s">
        <v>36</v>
      </c>
      <c r="O20" s="7" t="s">
        <v>58</v>
      </c>
      <c r="P20" s="7" t="s">
        <v>36</v>
      </c>
      <c r="Q20" s="7" t="s">
        <v>56</v>
      </c>
      <c r="R20" s="7" t="s">
        <v>56</v>
      </c>
      <c r="S20" s="7" t="s">
        <v>56</v>
      </c>
      <c r="T20" s="7" t="s">
        <v>57</v>
      </c>
      <c r="U20" s="7" t="s">
        <v>36</v>
      </c>
      <c r="V20" s="7" t="s">
        <v>58</v>
      </c>
      <c r="W20" s="7" t="s">
        <v>36</v>
      </c>
      <c r="X20" s="7" t="s">
        <v>56</v>
      </c>
      <c r="Y20" s="7" t="s">
        <v>56</v>
      </c>
      <c r="Z20" s="7" t="s">
        <v>57</v>
      </c>
      <c r="AA20" s="7" t="s">
        <v>36</v>
      </c>
      <c r="AB20" s="7" t="s">
        <v>36</v>
      </c>
      <c r="AC20" s="7" t="s">
        <v>58</v>
      </c>
      <c r="AD20" s="7" t="s">
        <v>36</v>
      </c>
      <c r="AE20" s="7" t="s">
        <v>36</v>
      </c>
      <c r="AF20" s="7" t="s">
        <v>36</v>
      </c>
      <c r="AG20" s="7" t="s">
        <v>36</v>
      </c>
      <c r="AH20" s="7" t="s">
        <v>36</v>
      </c>
      <c r="AI20" s="7" t="s">
        <v>36</v>
      </c>
      <c r="AJ20" s="7" t="s">
        <v>58</v>
      </c>
      <c r="AK20" s="7" t="s">
        <v>36</v>
      </c>
      <c r="AL20" s="7" t="s">
        <v>36</v>
      </c>
      <c r="AM20" s="7" t="s">
        <v>56</v>
      </c>
      <c r="AN20" s="7" t="s">
        <v>56</v>
      </c>
      <c r="AO20" s="7" t="s">
        <v>57</v>
      </c>
      <c r="AR20" s="7">
        <v>13</v>
      </c>
      <c r="AS20" s="7" t="s">
        <v>48</v>
      </c>
      <c r="AT20" s="7" t="s">
        <v>62</v>
      </c>
      <c r="AU20" s="7">
        <v>1013</v>
      </c>
      <c r="AV20" s="30">
        <f t="shared" si="2"/>
        <v>17</v>
      </c>
      <c r="AW20" s="30">
        <f t="shared" si="7"/>
        <v>7</v>
      </c>
      <c r="AX20" s="30">
        <f t="shared" si="3"/>
        <v>3</v>
      </c>
      <c r="AY20" s="31">
        <f t="shared" si="4"/>
        <v>4</v>
      </c>
      <c r="AZ20" s="31">
        <f t="shared" si="6"/>
        <v>31</v>
      </c>
      <c r="BA20" s="32">
        <f>Table1[[#This Row],[Days]]-Table1[[#This Row],[Absent]]</f>
        <v>24</v>
      </c>
      <c r="BB20" s="33">
        <v>5700</v>
      </c>
      <c r="BC20" s="36">
        <f>Table1[[#This Row],[Salary]]/Table1[[#This Row],[Days]]</f>
        <v>183.87096774193549</v>
      </c>
      <c r="BD20" s="34">
        <f>Table1[[#This Row],[Per Day Salary]]*Table1[[#This Row],[Absent]]</f>
        <v>1287.0967741935483</v>
      </c>
      <c r="BE20" s="33">
        <f>Table1[[#This Row],[Salary]]-Table1[[#This Row],[Deduction ]]</f>
        <v>4412.9032258064517</v>
      </c>
    </row>
    <row r="21" spans="7:60" x14ac:dyDescent="0.35">
      <c r="G21" s="7">
        <v>14</v>
      </c>
      <c r="H21" s="49" t="s">
        <v>49</v>
      </c>
      <c r="I21" s="7">
        <v>1014</v>
      </c>
      <c r="J21" s="15">
        <f t="shared" si="5"/>
        <v>4</v>
      </c>
      <c r="K21" s="7" t="s">
        <v>36</v>
      </c>
      <c r="L21" s="7" t="s">
        <v>36</v>
      </c>
      <c r="M21" s="7" t="s">
        <v>36</v>
      </c>
      <c r="N21" s="7" t="s">
        <v>36</v>
      </c>
      <c r="O21" s="7" t="s">
        <v>58</v>
      </c>
      <c r="P21" s="7" t="s">
        <v>36</v>
      </c>
      <c r="Q21" s="7" t="s">
        <v>56</v>
      </c>
      <c r="R21" s="7" t="s">
        <v>56</v>
      </c>
      <c r="S21" s="7" t="s">
        <v>56</v>
      </c>
      <c r="T21" s="7" t="s">
        <v>57</v>
      </c>
      <c r="U21" s="7" t="s">
        <v>36</v>
      </c>
      <c r="V21" s="7" t="s">
        <v>58</v>
      </c>
      <c r="W21" s="7" t="s">
        <v>36</v>
      </c>
      <c r="X21" s="7" t="s">
        <v>56</v>
      </c>
      <c r="Y21" s="7" t="s">
        <v>56</v>
      </c>
      <c r="Z21" s="7" t="s">
        <v>57</v>
      </c>
      <c r="AA21" s="7" t="s">
        <v>36</v>
      </c>
      <c r="AB21" s="7" t="s">
        <v>36</v>
      </c>
      <c r="AC21" s="7" t="s">
        <v>58</v>
      </c>
      <c r="AD21" s="7" t="s">
        <v>36</v>
      </c>
      <c r="AE21" s="7" t="s">
        <v>36</v>
      </c>
      <c r="AF21" s="7" t="s">
        <v>36</v>
      </c>
      <c r="AG21" s="7" t="s">
        <v>36</v>
      </c>
      <c r="AH21" s="7" t="s">
        <v>36</v>
      </c>
      <c r="AI21" s="7" t="s">
        <v>36</v>
      </c>
      <c r="AJ21" s="7" t="s">
        <v>58</v>
      </c>
      <c r="AK21" s="7" t="s">
        <v>36</v>
      </c>
      <c r="AL21" s="7" t="s">
        <v>36</v>
      </c>
      <c r="AM21" s="7" t="s">
        <v>56</v>
      </c>
      <c r="AN21" s="7" t="s">
        <v>56</v>
      </c>
      <c r="AO21" s="7" t="s">
        <v>57</v>
      </c>
      <c r="AR21" s="7">
        <v>14</v>
      </c>
      <c r="AS21" s="7" t="s">
        <v>49</v>
      </c>
      <c r="AT21" s="7" t="s">
        <v>62</v>
      </c>
      <c r="AU21" s="7">
        <v>1014</v>
      </c>
      <c r="AV21" s="30">
        <f t="shared" si="2"/>
        <v>17</v>
      </c>
      <c r="AW21" s="30">
        <f t="shared" si="7"/>
        <v>7</v>
      </c>
      <c r="AX21" s="30">
        <f t="shared" si="3"/>
        <v>3</v>
      </c>
      <c r="AY21" s="31">
        <f t="shared" si="4"/>
        <v>4</v>
      </c>
      <c r="AZ21" s="31">
        <f t="shared" si="6"/>
        <v>31</v>
      </c>
      <c r="BA21" s="32">
        <f>Table1[[#This Row],[Days]]-Table1[[#This Row],[Absent]]</f>
        <v>24</v>
      </c>
      <c r="BB21" s="33">
        <v>5800</v>
      </c>
      <c r="BC21" s="36">
        <f>Table1[[#This Row],[Salary]]/Table1[[#This Row],[Days]]</f>
        <v>187.09677419354838</v>
      </c>
      <c r="BD21" s="34">
        <f>Table1[[#This Row],[Per Day Salary]]*Table1[[#This Row],[Absent]]</f>
        <v>1309.6774193548388</v>
      </c>
      <c r="BE21" s="33">
        <f>Table1[[#This Row],[Salary]]-Table1[[#This Row],[Deduction ]]</f>
        <v>4490.322580645161</v>
      </c>
    </row>
    <row r="22" spans="7:60" x14ac:dyDescent="0.35">
      <c r="G22" s="7">
        <v>15</v>
      </c>
      <c r="H22" s="49" t="s">
        <v>50</v>
      </c>
      <c r="I22" s="7">
        <v>1015</v>
      </c>
      <c r="J22" s="15">
        <f t="shared" si="5"/>
        <v>4</v>
      </c>
      <c r="K22" s="7" t="s">
        <v>36</v>
      </c>
      <c r="L22" s="7" t="s">
        <v>36</v>
      </c>
      <c r="M22" s="7" t="s">
        <v>36</v>
      </c>
      <c r="N22" s="7" t="s">
        <v>36</v>
      </c>
      <c r="O22" s="7" t="s">
        <v>58</v>
      </c>
      <c r="P22" s="7" t="s">
        <v>36</v>
      </c>
      <c r="Q22" s="7" t="s">
        <v>56</v>
      </c>
      <c r="R22" s="7" t="s">
        <v>56</v>
      </c>
      <c r="S22" s="7" t="s">
        <v>56</v>
      </c>
      <c r="T22" s="7" t="s">
        <v>57</v>
      </c>
      <c r="U22" s="7" t="s">
        <v>36</v>
      </c>
      <c r="V22" s="7" t="s">
        <v>58</v>
      </c>
      <c r="W22" s="7" t="s">
        <v>36</v>
      </c>
      <c r="X22" s="7" t="s">
        <v>56</v>
      </c>
      <c r="Y22" s="7" t="s">
        <v>56</v>
      </c>
      <c r="Z22" s="7" t="s">
        <v>57</v>
      </c>
      <c r="AA22" s="7" t="s">
        <v>36</v>
      </c>
      <c r="AB22" s="7" t="s">
        <v>36</v>
      </c>
      <c r="AC22" s="7" t="s">
        <v>58</v>
      </c>
      <c r="AD22" s="7" t="s">
        <v>36</v>
      </c>
      <c r="AE22" s="7" t="s">
        <v>36</v>
      </c>
      <c r="AF22" s="7" t="s">
        <v>36</v>
      </c>
      <c r="AG22" s="7" t="s">
        <v>36</v>
      </c>
      <c r="AH22" s="7" t="s">
        <v>36</v>
      </c>
      <c r="AI22" s="7" t="s">
        <v>36</v>
      </c>
      <c r="AJ22" s="7" t="s">
        <v>58</v>
      </c>
      <c r="AK22" s="7" t="s">
        <v>36</v>
      </c>
      <c r="AL22" s="7" t="s">
        <v>36</v>
      </c>
      <c r="AM22" s="7" t="s">
        <v>56</v>
      </c>
      <c r="AN22" s="7" t="s">
        <v>56</v>
      </c>
      <c r="AO22" s="7" t="s">
        <v>57</v>
      </c>
      <c r="AR22" s="7">
        <v>15</v>
      </c>
      <c r="AS22" s="7" t="s">
        <v>50</v>
      </c>
      <c r="AT22" s="7" t="s">
        <v>62</v>
      </c>
      <c r="AU22" s="7">
        <v>1015</v>
      </c>
      <c r="AV22" s="30">
        <f t="shared" si="2"/>
        <v>17</v>
      </c>
      <c r="AW22" s="30">
        <f t="shared" si="7"/>
        <v>7</v>
      </c>
      <c r="AX22" s="30">
        <f t="shared" si="3"/>
        <v>3</v>
      </c>
      <c r="AY22" s="31">
        <f t="shared" si="4"/>
        <v>4</v>
      </c>
      <c r="AZ22" s="31">
        <f t="shared" si="6"/>
        <v>31</v>
      </c>
      <c r="BA22" s="32">
        <f>Table1[[#This Row],[Days]]-Table1[[#This Row],[Absent]]</f>
        <v>24</v>
      </c>
      <c r="BB22" s="33">
        <v>5900</v>
      </c>
      <c r="BC22" s="36">
        <f>Table1[[#This Row],[Salary]]/Table1[[#This Row],[Days]]</f>
        <v>190.32258064516128</v>
      </c>
      <c r="BD22" s="34">
        <f>Table1[[#This Row],[Per Day Salary]]*Table1[[#This Row],[Absent]]</f>
        <v>1332.258064516129</v>
      </c>
      <c r="BE22" s="33">
        <f>Table1[[#This Row],[Salary]]-Table1[[#This Row],[Deduction ]]</f>
        <v>4567.7419354838712</v>
      </c>
    </row>
    <row r="23" spans="7:60" x14ac:dyDescent="0.35">
      <c r="G23" s="7">
        <v>16</v>
      </c>
      <c r="H23" s="49" t="s">
        <v>51</v>
      </c>
      <c r="I23" s="7">
        <v>1016</v>
      </c>
      <c r="J23" s="15">
        <f t="shared" si="5"/>
        <v>4</v>
      </c>
      <c r="K23" s="7" t="s">
        <v>36</v>
      </c>
      <c r="L23" s="7" t="s">
        <v>36</v>
      </c>
      <c r="M23" s="7" t="s">
        <v>36</v>
      </c>
      <c r="N23" s="7" t="s">
        <v>36</v>
      </c>
      <c r="O23" s="7" t="s">
        <v>58</v>
      </c>
      <c r="P23" s="7" t="s">
        <v>36</v>
      </c>
      <c r="Q23" s="7" t="s">
        <v>56</v>
      </c>
      <c r="R23" s="7" t="s">
        <v>56</v>
      </c>
      <c r="S23" s="7" t="s">
        <v>56</v>
      </c>
      <c r="T23" s="7" t="s">
        <v>57</v>
      </c>
      <c r="U23" s="7" t="s">
        <v>36</v>
      </c>
      <c r="V23" s="7" t="s">
        <v>58</v>
      </c>
      <c r="W23" s="7" t="s">
        <v>36</v>
      </c>
      <c r="X23" s="7" t="s">
        <v>56</v>
      </c>
      <c r="Y23" s="7" t="s">
        <v>56</v>
      </c>
      <c r="Z23" s="7" t="s">
        <v>57</v>
      </c>
      <c r="AA23" s="7" t="s">
        <v>36</v>
      </c>
      <c r="AB23" s="7" t="s">
        <v>36</v>
      </c>
      <c r="AC23" s="7" t="s">
        <v>58</v>
      </c>
      <c r="AD23" s="7" t="s">
        <v>36</v>
      </c>
      <c r="AE23" s="7" t="s">
        <v>36</v>
      </c>
      <c r="AF23" s="7" t="s">
        <v>36</v>
      </c>
      <c r="AG23" s="7" t="s">
        <v>36</v>
      </c>
      <c r="AH23" s="7" t="s">
        <v>36</v>
      </c>
      <c r="AI23" s="7" t="s">
        <v>36</v>
      </c>
      <c r="AJ23" s="7" t="s">
        <v>58</v>
      </c>
      <c r="AK23" s="7" t="s">
        <v>36</v>
      </c>
      <c r="AL23" s="7" t="s">
        <v>36</v>
      </c>
      <c r="AM23" s="7" t="s">
        <v>56</v>
      </c>
      <c r="AN23" s="7" t="s">
        <v>56</v>
      </c>
      <c r="AO23" s="7" t="s">
        <v>57</v>
      </c>
      <c r="AR23" s="7">
        <v>16</v>
      </c>
      <c r="AS23" s="7" t="s">
        <v>51</v>
      </c>
      <c r="AT23" s="7" t="s">
        <v>62</v>
      </c>
      <c r="AU23" s="7">
        <v>1016</v>
      </c>
      <c r="AV23" s="30">
        <f t="shared" si="2"/>
        <v>17</v>
      </c>
      <c r="AW23" s="30">
        <f t="shared" si="7"/>
        <v>7</v>
      </c>
      <c r="AX23" s="30">
        <f t="shared" si="3"/>
        <v>3</v>
      </c>
      <c r="AY23" s="31">
        <f t="shared" si="4"/>
        <v>4</v>
      </c>
      <c r="AZ23" s="31">
        <f t="shared" si="6"/>
        <v>31</v>
      </c>
      <c r="BA23" s="32">
        <f>Table1[[#This Row],[Days]]-Table1[[#This Row],[Absent]]</f>
        <v>24</v>
      </c>
      <c r="BB23" s="33">
        <v>6000</v>
      </c>
      <c r="BC23" s="36">
        <f>Table1[[#This Row],[Salary]]/Table1[[#This Row],[Days]]</f>
        <v>193.54838709677421</v>
      </c>
      <c r="BD23" s="34">
        <f>Table1[[#This Row],[Per Day Salary]]*Table1[[#This Row],[Absent]]</f>
        <v>1354.8387096774195</v>
      </c>
      <c r="BE23" s="33">
        <f>Table1[[#This Row],[Salary]]-Table1[[#This Row],[Deduction ]]</f>
        <v>4645.1612903225805</v>
      </c>
    </row>
    <row r="24" spans="7:60" x14ac:dyDescent="0.35">
      <c r="G24" s="7">
        <v>17</v>
      </c>
      <c r="H24" s="49" t="s">
        <v>52</v>
      </c>
      <c r="I24" s="7">
        <v>1017</v>
      </c>
      <c r="J24" s="15">
        <f t="shared" si="5"/>
        <v>4</v>
      </c>
      <c r="K24" s="7" t="s">
        <v>36</v>
      </c>
      <c r="L24" s="7" t="s">
        <v>36</v>
      </c>
      <c r="M24" s="7" t="s">
        <v>36</v>
      </c>
      <c r="N24" s="7" t="s">
        <v>36</v>
      </c>
      <c r="O24" s="7" t="s">
        <v>58</v>
      </c>
      <c r="P24" s="7" t="s">
        <v>36</v>
      </c>
      <c r="Q24" s="7" t="s">
        <v>56</v>
      </c>
      <c r="R24" s="7" t="s">
        <v>56</v>
      </c>
      <c r="S24" s="7" t="s">
        <v>56</v>
      </c>
      <c r="T24" s="7" t="s">
        <v>57</v>
      </c>
      <c r="U24" s="7" t="s">
        <v>36</v>
      </c>
      <c r="V24" s="7" t="s">
        <v>58</v>
      </c>
      <c r="W24" s="7" t="s">
        <v>36</v>
      </c>
      <c r="X24" s="7" t="s">
        <v>56</v>
      </c>
      <c r="Y24" s="7" t="s">
        <v>56</v>
      </c>
      <c r="Z24" s="7" t="s">
        <v>57</v>
      </c>
      <c r="AA24" s="7" t="s">
        <v>36</v>
      </c>
      <c r="AB24" s="7" t="s">
        <v>36</v>
      </c>
      <c r="AC24" s="7" t="s">
        <v>58</v>
      </c>
      <c r="AD24" s="7" t="s">
        <v>36</v>
      </c>
      <c r="AE24" s="7" t="s">
        <v>36</v>
      </c>
      <c r="AF24" s="7" t="s">
        <v>36</v>
      </c>
      <c r="AG24" s="7" t="s">
        <v>36</v>
      </c>
      <c r="AH24" s="7" t="s">
        <v>36</v>
      </c>
      <c r="AI24" s="7" t="s">
        <v>36</v>
      </c>
      <c r="AJ24" s="7" t="s">
        <v>58</v>
      </c>
      <c r="AK24" s="7" t="s">
        <v>36</v>
      </c>
      <c r="AL24" s="7" t="s">
        <v>36</v>
      </c>
      <c r="AM24" s="7" t="s">
        <v>56</v>
      </c>
      <c r="AN24" s="7" t="s">
        <v>56</v>
      </c>
      <c r="AO24" s="7" t="s">
        <v>57</v>
      </c>
      <c r="AR24" s="7">
        <v>17</v>
      </c>
      <c r="AS24" s="7" t="s">
        <v>52</v>
      </c>
      <c r="AT24" s="7" t="s">
        <v>62</v>
      </c>
      <c r="AU24" s="7">
        <v>1017</v>
      </c>
      <c r="AV24" s="30">
        <f t="shared" si="2"/>
        <v>17</v>
      </c>
      <c r="AW24" s="30">
        <f t="shared" si="7"/>
        <v>7</v>
      </c>
      <c r="AX24" s="30">
        <f t="shared" si="3"/>
        <v>3</v>
      </c>
      <c r="AY24" s="31">
        <f t="shared" si="4"/>
        <v>4</v>
      </c>
      <c r="AZ24" s="31">
        <f t="shared" si="6"/>
        <v>31</v>
      </c>
      <c r="BA24" s="1">
        <f>Table1[[#This Row],[Days]]-Table1[[#This Row],[Absent]]</f>
        <v>24</v>
      </c>
      <c r="BB24" s="33">
        <v>6100</v>
      </c>
      <c r="BC24" s="36">
        <f>Table1[[#This Row],[Salary]]/Table1[[#This Row],[Days]]</f>
        <v>196.7741935483871</v>
      </c>
      <c r="BD24" s="34">
        <f>Table1[[#This Row],[Per Day Salary]]*Table1[[#This Row],[Absent]]</f>
        <v>1377.4193548387098</v>
      </c>
      <c r="BE24" s="33">
        <f>Table1[[#This Row],[Salary]]-Table1[[#This Row],[Deduction ]]</f>
        <v>4722.5806451612898</v>
      </c>
    </row>
    <row r="25" spans="7:60" x14ac:dyDescent="0.35">
      <c r="G25" s="7">
        <v>18</v>
      </c>
      <c r="H25" s="49" t="s">
        <v>53</v>
      </c>
      <c r="I25" s="7">
        <v>1018</v>
      </c>
      <c r="J25" s="15">
        <f t="shared" si="5"/>
        <v>4</v>
      </c>
      <c r="K25" s="7" t="s">
        <v>36</v>
      </c>
      <c r="L25" s="7" t="s">
        <v>36</v>
      </c>
      <c r="M25" s="7" t="s">
        <v>36</v>
      </c>
      <c r="N25" s="7" t="s">
        <v>36</v>
      </c>
      <c r="O25" s="7" t="s">
        <v>58</v>
      </c>
      <c r="P25" s="7" t="s">
        <v>36</v>
      </c>
      <c r="Q25" s="7" t="s">
        <v>56</v>
      </c>
      <c r="R25" s="7" t="s">
        <v>56</v>
      </c>
      <c r="S25" s="7" t="s">
        <v>56</v>
      </c>
      <c r="T25" s="7" t="s">
        <v>57</v>
      </c>
      <c r="U25" s="7" t="s">
        <v>36</v>
      </c>
      <c r="V25" s="7" t="s">
        <v>58</v>
      </c>
      <c r="W25" s="7" t="s">
        <v>36</v>
      </c>
      <c r="X25" s="7" t="s">
        <v>56</v>
      </c>
      <c r="Y25" s="7" t="s">
        <v>56</v>
      </c>
      <c r="Z25" s="7" t="s">
        <v>57</v>
      </c>
      <c r="AA25" s="7" t="s">
        <v>36</v>
      </c>
      <c r="AB25" s="7" t="s">
        <v>36</v>
      </c>
      <c r="AC25" s="7" t="s">
        <v>58</v>
      </c>
      <c r="AD25" s="7" t="s">
        <v>36</v>
      </c>
      <c r="AE25" s="7" t="s">
        <v>36</v>
      </c>
      <c r="AF25" s="7" t="s">
        <v>36</v>
      </c>
      <c r="AG25" s="7" t="s">
        <v>36</v>
      </c>
      <c r="AH25" s="7" t="s">
        <v>36</v>
      </c>
      <c r="AI25" s="7" t="s">
        <v>36</v>
      </c>
      <c r="AJ25" s="7" t="s">
        <v>58</v>
      </c>
      <c r="AK25" s="7" t="s">
        <v>36</v>
      </c>
      <c r="AL25" s="7" t="s">
        <v>36</v>
      </c>
      <c r="AM25" s="7" t="s">
        <v>56</v>
      </c>
      <c r="AN25" s="7" t="s">
        <v>56</v>
      </c>
      <c r="AO25" s="7" t="s">
        <v>57</v>
      </c>
      <c r="AR25" s="7">
        <v>18</v>
      </c>
      <c r="AS25" s="7" t="s">
        <v>53</v>
      </c>
      <c r="AT25" s="7" t="s">
        <v>62</v>
      </c>
      <c r="AU25" s="7">
        <v>1018</v>
      </c>
      <c r="AV25" s="30">
        <f t="shared" si="2"/>
        <v>17</v>
      </c>
      <c r="AW25" s="30">
        <f t="shared" si="7"/>
        <v>7</v>
      </c>
      <c r="AX25" s="30">
        <f t="shared" si="3"/>
        <v>3</v>
      </c>
      <c r="AY25" s="31">
        <f t="shared" si="4"/>
        <v>4</v>
      </c>
      <c r="AZ25" s="31">
        <f t="shared" si="6"/>
        <v>31</v>
      </c>
      <c r="BA25" s="32">
        <f>Table1[[#This Row],[Days]]-Table1[[#This Row],[Absent]]</f>
        <v>24</v>
      </c>
      <c r="BB25" s="33">
        <v>6200</v>
      </c>
      <c r="BC25" s="36">
        <f>Table1[[#This Row],[Salary]]/Table1[[#This Row],[Days]]</f>
        <v>200</v>
      </c>
      <c r="BD25" s="34">
        <f>Table1[[#This Row],[Per Day Salary]]*Table1[[#This Row],[Absent]]</f>
        <v>1400</v>
      </c>
      <c r="BE25" s="33">
        <f>Table1[[#This Row],[Salary]]-Table1[[#This Row],[Deduction ]]</f>
        <v>4800</v>
      </c>
    </row>
    <row r="26" spans="7:60" x14ac:dyDescent="0.35">
      <c r="G26" s="7">
        <v>19</v>
      </c>
      <c r="H26" s="49" t="s">
        <v>54</v>
      </c>
      <c r="I26" s="7">
        <v>1019</v>
      </c>
      <c r="J26" s="15">
        <f t="shared" si="5"/>
        <v>4</v>
      </c>
      <c r="K26" s="7" t="s">
        <v>36</v>
      </c>
      <c r="L26" s="7" t="s">
        <v>36</v>
      </c>
      <c r="M26" s="7" t="s">
        <v>36</v>
      </c>
      <c r="N26" s="7" t="s">
        <v>36</v>
      </c>
      <c r="O26" s="7" t="s">
        <v>58</v>
      </c>
      <c r="P26" s="7" t="s">
        <v>36</v>
      </c>
      <c r="Q26" s="7" t="s">
        <v>56</v>
      </c>
      <c r="R26" s="7" t="s">
        <v>56</v>
      </c>
      <c r="S26" s="7" t="s">
        <v>56</v>
      </c>
      <c r="T26" s="7" t="s">
        <v>57</v>
      </c>
      <c r="U26" s="7" t="s">
        <v>36</v>
      </c>
      <c r="V26" s="7" t="s">
        <v>58</v>
      </c>
      <c r="W26" s="7" t="s">
        <v>36</v>
      </c>
      <c r="X26" s="7" t="s">
        <v>56</v>
      </c>
      <c r="Y26" s="7" t="s">
        <v>56</v>
      </c>
      <c r="Z26" s="7" t="s">
        <v>57</v>
      </c>
      <c r="AA26" s="7" t="s">
        <v>36</v>
      </c>
      <c r="AB26" s="7" t="s">
        <v>36</v>
      </c>
      <c r="AC26" s="7" t="s">
        <v>58</v>
      </c>
      <c r="AD26" s="7" t="s">
        <v>36</v>
      </c>
      <c r="AE26" s="7" t="s">
        <v>36</v>
      </c>
      <c r="AF26" s="7" t="s">
        <v>36</v>
      </c>
      <c r="AG26" s="7" t="s">
        <v>36</v>
      </c>
      <c r="AH26" s="7" t="s">
        <v>36</v>
      </c>
      <c r="AI26" s="7" t="s">
        <v>36</v>
      </c>
      <c r="AJ26" s="7" t="s">
        <v>58</v>
      </c>
      <c r="AK26" s="7" t="s">
        <v>36</v>
      </c>
      <c r="AL26" s="7" t="s">
        <v>36</v>
      </c>
      <c r="AM26" s="7" t="s">
        <v>56</v>
      </c>
      <c r="AN26" s="7" t="s">
        <v>56</v>
      </c>
      <c r="AO26" s="7" t="s">
        <v>57</v>
      </c>
      <c r="AR26" s="7">
        <v>19</v>
      </c>
      <c r="AS26" s="7" t="s">
        <v>54</v>
      </c>
      <c r="AT26" s="7" t="s">
        <v>62</v>
      </c>
      <c r="AU26" s="7">
        <v>1019</v>
      </c>
      <c r="AV26" s="30">
        <f t="shared" si="2"/>
        <v>17</v>
      </c>
      <c r="AW26" s="30">
        <f t="shared" si="7"/>
        <v>7</v>
      </c>
      <c r="AX26" s="30">
        <f t="shared" si="3"/>
        <v>3</v>
      </c>
      <c r="AY26" s="31">
        <f t="shared" si="4"/>
        <v>4</v>
      </c>
      <c r="AZ26" s="31">
        <f t="shared" si="6"/>
        <v>31</v>
      </c>
      <c r="BA26" s="1">
        <f>Table1[[#This Row],[Days]]-Table1[[#This Row],[Absent]]</f>
        <v>24</v>
      </c>
      <c r="BB26" s="33">
        <v>6300</v>
      </c>
      <c r="BC26" s="36">
        <f>Table1[[#This Row],[Salary]]/Table1[[#This Row],[Days]]</f>
        <v>203.2258064516129</v>
      </c>
      <c r="BD26" s="34">
        <f>Table1[[#This Row],[Per Day Salary]]*Table1[[#This Row],[Absent]]</f>
        <v>1422.5806451612902</v>
      </c>
      <c r="BE26" s="33">
        <f>Table1[[#This Row],[Salary]]-Table1[[#This Row],[Deduction ]]</f>
        <v>4877.4193548387102</v>
      </c>
    </row>
    <row r="27" spans="7:60" x14ac:dyDescent="0.35">
      <c r="G27" s="7">
        <v>20</v>
      </c>
      <c r="H27" s="49" t="s">
        <v>55</v>
      </c>
      <c r="I27" s="7">
        <v>1020</v>
      </c>
      <c r="J27" s="15">
        <f t="shared" si="5"/>
        <v>4</v>
      </c>
      <c r="K27" s="7" t="s">
        <v>36</v>
      </c>
      <c r="L27" s="7" t="s">
        <v>36</v>
      </c>
      <c r="M27" s="7" t="s">
        <v>36</v>
      </c>
      <c r="N27" s="7" t="s">
        <v>36</v>
      </c>
      <c r="O27" s="7" t="s">
        <v>58</v>
      </c>
      <c r="P27" s="7" t="s">
        <v>36</v>
      </c>
      <c r="Q27" s="7" t="s">
        <v>56</v>
      </c>
      <c r="R27" s="7" t="s">
        <v>56</v>
      </c>
      <c r="S27" s="7" t="s">
        <v>56</v>
      </c>
      <c r="T27" s="7" t="s">
        <v>57</v>
      </c>
      <c r="U27" s="7" t="s">
        <v>36</v>
      </c>
      <c r="V27" s="7" t="s">
        <v>58</v>
      </c>
      <c r="W27" s="7" t="s">
        <v>36</v>
      </c>
      <c r="X27" s="7" t="s">
        <v>56</v>
      </c>
      <c r="Y27" s="7" t="s">
        <v>56</v>
      </c>
      <c r="Z27" s="7" t="s">
        <v>57</v>
      </c>
      <c r="AA27" s="7" t="s">
        <v>36</v>
      </c>
      <c r="AB27" s="7" t="s">
        <v>36</v>
      </c>
      <c r="AC27" s="7" t="s">
        <v>58</v>
      </c>
      <c r="AD27" s="7" t="s">
        <v>36</v>
      </c>
      <c r="AE27" s="7" t="s">
        <v>36</v>
      </c>
      <c r="AF27" s="7" t="s">
        <v>36</v>
      </c>
      <c r="AG27" s="7" t="s">
        <v>36</v>
      </c>
      <c r="AH27" s="7" t="s">
        <v>36</v>
      </c>
      <c r="AI27" s="7" t="s">
        <v>36</v>
      </c>
      <c r="AJ27" s="7" t="s">
        <v>58</v>
      </c>
      <c r="AK27" s="7" t="s">
        <v>36</v>
      </c>
      <c r="AL27" s="7" t="s">
        <v>36</v>
      </c>
      <c r="AM27" s="7" t="s">
        <v>56</v>
      </c>
      <c r="AN27" s="7" t="s">
        <v>56</v>
      </c>
      <c r="AO27" s="7" t="s">
        <v>57</v>
      </c>
      <c r="AR27" s="7">
        <v>20</v>
      </c>
      <c r="AS27" s="7" t="s">
        <v>55</v>
      </c>
      <c r="AT27" s="7" t="s">
        <v>62</v>
      </c>
      <c r="AU27" s="7">
        <v>1020</v>
      </c>
      <c r="AV27" s="30">
        <f t="shared" si="2"/>
        <v>17</v>
      </c>
      <c r="AW27" s="30">
        <f t="shared" si="7"/>
        <v>7</v>
      </c>
      <c r="AX27" s="30">
        <f t="shared" si="3"/>
        <v>3</v>
      </c>
      <c r="AY27" s="31">
        <f t="shared" si="4"/>
        <v>4</v>
      </c>
      <c r="AZ27" s="31">
        <f t="shared" si="6"/>
        <v>31</v>
      </c>
      <c r="BA27" s="32">
        <f>Table1[[#This Row],[Days]]-Table1[[#This Row],[Absent]]</f>
        <v>24</v>
      </c>
      <c r="BB27" s="33">
        <v>6400</v>
      </c>
      <c r="BC27" s="36">
        <f>Table1[[#This Row],[Salary]]/Table1[[#This Row],[Days]]</f>
        <v>206.45161290322579</v>
      </c>
      <c r="BD27" s="34">
        <f>Table1[[#This Row],[Per Day Salary]]*Table1[[#This Row],[Absent]]</f>
        <v>1445.1612903225805</v>
      </c>
      <c r="BE27" s="33">
        <f>Table1[[#This Row],[Salary]]-Table1[[#This Row],[Deduction ]]</f>
        <v>4954.8387096774195</v>
      </c>
    </row>
    <row r="28" spans="7:60" x14ac:dyDescent="0.35">
      <c r="L28" s="6"/>
      <c r="S28" s="6"/>
    </row>
  </sheetData>
  <mergeCells count="1">
    <mergeCell ref="G6:I6"/>
  </mergeCells>
  <phoneticPr fontId="2" type="noConversion"/>
  <conditionalFormatting sqref="F5">
    <cfRule type="containsText" dxfId="59" priority="5" operator="containsText" text="P">
      <formula>NOT(ISERROR(SEARCH("P",F5)))</formula>
    </cfRule>
  </conditionalFormatting>
  <conditionalFormatting sqref="K8:AO27">
    <cfRule type="containsText" dxfId="58" priority="1" operator="containsText" text="L">
      <formula>NOT(ISERROR(SEARCH("L",K8)))</formula>
    </cfRule>
    <cfRule type="containsText" dxfId="57" priority="2" operator="containsText" text="A">
      <formula>NOT(ISERROR(SEARCH("A",K8)))</formula>
    </cfRule>
    <cfRule type="containsText" dxfId="56" priority="3" operator="containsText" text="P">
      <formula>NOT(ISERROR(SEARCH("P",K8)))</formula>
    </cfRule>
    <cfRule type="containsText" dxfId="55" priority="7" operator="containsText" text="WO">
      <formula>NOT(ISERROR(SEARCH("WO",K8)))</formula>
    </cfRule>
  </conditionalFormatting>
  <dataValidations count="2">
    <dataValidation type="list" allowBlank="1" showInputMessage="1" showErrorMessage="1" sqref="AK8:AO27 P8:T27 K8:N27 AD8:AI27 W8:AB27" xr:uid="{19978082-4F13-4A09-B2AA-D8065F404DE0}">
      <formula1>"A,L,P"</formula1>
    </dataValidation>
    <dataValidation type="list" allowBlank="1" showInputMessage="1" showErrorMessage="1" sqref="AC8:AC27 O8:O27 AJ8:AJ27" xr:uid="{FC7920DD-858A-4B72-9AA6-1A971B5D9FA2}">
      <formula1>"A,L,P,WO"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Sheet1!$J$2:$J$13</xm:f>
          </x14:formula1>
          <xm:sqref>G5</xm:sqref>
        </x14:dataValidation>
        <x14:dataValidation type="list" allowBlank="1" showInputMessage="1" showErrorMessage="1" xr:uid="{5D6927FA-5D41-4051-996B-93A9D02905C0}">
          <x14:formula1>
            <xm:f>Sheet1!$E$2:$E$13</xm:f>
          </x14:formula1>
          <xm:sqref>I5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86F4-5977-4465-8CCE-127B147EC637}">
  <sheetPr codeName="Sheet3"/>
  <dimension ref="F4:BN30"/>
  <sheetViews>
    <sheetView showGridLines="0" zoomScale="72" zoomScaleNormal="72" workbookViewId="0">
      <selection activeCell="H12" sqref="H12"/>
    </sheetView>
  </sheetViews>
  <sheetFormatPr defaultRowHeight="14.5" x14ac:dyDescent="0.35"/>
  <cols>
    <col min="7" max="7" width="12.54296875" bestFit="1" customWidth="1"/>
    <col min="8" max="8" width="11.7265625" bestFit="1" customWidth="1"/>
    <col min="9" max="9" width="12.26953125" customWidth="1"/>
    <col min="10" max="10" width="8.453125" bestFit="1" customWidth="1"/>
    <col min="11" max="11" width="3.453125" bestFit="1" customWidth="1"/>
    <col min="12" max="12" width="3.7265625" bestFit="1" customWidth="1"/>
    <col min="13" max="13" width="5.54296875" customWidth="1"/>
    <col min="14" max="14" width="3.7265625" bestFit="1" customWidth="1"/>
    <col min="15" max="15" width="4.453125" bestFit="1" customWidth="1"/>
    <col min="16" max="16" width="3.7265625" bestFit="1" customWidth="1"/>
    <col min="17" max="17" width="3.453125" customWidth="1"/>
    <col min="18" max="18" width="3.453125" bestFit="1" customWidth="1"/>
    <col min="19" max="19" width="3.7265625" bestFit="1" customWidth="1"/>
    <col min="20" max="20" width="4.453125" bestFit="1" customWidth="1"/>
    <col min="21" max="21" width="3.7265625" bestFit="1" customWidth="1"/>
    <col min="22" max="22" width="4.453125" bestFit="1" customWidth="1"/>
    <col min="23" max="23" width="3.7265625" bestFit="1" customWidth="1"/>
    <col min="24" max="24" width="2.81640625" bestFit="1" customWidth="1"/>
    <col min="25" max="25" width="3.453125" bestFit="1" customWidth="1"/>
    <col min="26" max="26" width="3.7265625" bestFit="1" customWidth="1"/>
    <col min="27" max="27" width="4.453125" bestFit="1" customWidth="1"/>
    <col min="28" max="28" width="3.7265625" bestFit="1" customWidth="1"/>
    <col min="29" max="29" width="4.453125" bestFit="1" customWidth="1"/>
    <col min="30" max="30" width="3.7265625" bestFit="1" customWidth="1"/>
    <col min="31" max="31" width="2.81640625" bestFit="1" customWidth="1"/>
    <col min="32" max="32" width="3.453125" bestFit="1" customWidth="1"/>
    <col min="33" max="33" width="3.7265625" bestFit="1" customWidth="1"/>
    <col min="34" max="34" width="4.453125" bestFit="1" customWidth="1"/>
    <col min="35" max="35" width="3.7265625" bestFit="1" customWidth="1"/>
    <col min="36" max="36" width="4.453125" bestFit="1" customWidth="1"/>
    <col min="37" max="37" width="3.7265625" bestFit="1" customWidth="1"/>
    <col min="38" max="38" width="3.90625" customWidth="1"/>
    <col min="39" max="39" width="3.453125" bestFit="1" customWidth="1"/>
    <col min="40" max="40" width="4.1796875" bestFit="1" customWidth="1"/>
    <col min="41" max="41" width="5.08984375" customWidth="1"/>
    <col min="45" max="46" width="10.453125" customWidth="1"/>
    <col min="47" max="47" width="12.81640625" customWidth="1"/>
    <col min="48" max="48" width="9.453125" customWidth="1"/>
    <col min="49" max="49" width="8.90625" customWidth="1"/>
    <col min="51" max="51" width="10.453125" customWidth="1"/>
    <col min="53" max="53" width="10.7265625" customWidth="1"/>
    <col min="54" max="54" width="10.7265625" bestFit="1" customWidth="1"/>
    <col min="55" max="55" width="14.36328125" customWidth="1"/>
    <col min="56" max="56" width="12" customWidth="1"/>
    <col min="57" max="57" width="12.54296875" customWidth="1"/>
  </cols>
  <sheetData>
    <row r="4" spans="6:66" x14ac:dyDescent="0.35">
      <c r="F4" s="21"/>
      <c r="G4" s="21"/>
      <c r="H4" s="21"/>
      <c r="I4" s="22">
        <f>G5</f>
        <v>45689</v>
      </c>
      <c r="J4" s="21"/>
      <c r="K4" s="21"/>
      <c r="L4" s="21"/>
    </row>
    <row r="5" spans="6:66" ht="15" thickBot="1" x14ac:dyDescent="0.4">
      <c r="F5" s="21" t="s">
        <v>23</v>
      </c>
      <c r="G5" s="26">
        <v>45689</v>
      </c>
      <c r="H5" s="24">
        <f>G5</f>
        <v>45689</v>
      </c>
      <c r="I5" s="24"/>
      <c r="J5" s="21"/>
      <c r="K5" s="21"/>
      <c r="L5" s="21" t="s">
        <v>25</v>
      </c>
      <c r="M5" s="23">
        <f>EOMONTH(G5,0)</f>
        <v>45716</v>
      </c>
      <c r="O5" s="3"/>
    </row>
    <row r="6" spans="6:66" ht="16.5" thickBot="1" x14ac:dyDescent="0.45">
      <c r="G6" s="50" t="s">
        <v>27</v>
      </c>
      <c r="H6" s="51"/>
      <c r="I6" s="52"/>
      <c r="J6" s="11" t="s">
        <v>26</v>
      </c>
      <c r="K6" s="12" t="str">
        <f>TEXT(K7,"ddd")</f>
        <v>Sat</v>
      </c>
      <c r="L6" s="12" t="str">
        <f t="shared" ref="L6:AN6" si="0">TEXT(L7,"ddd")</f>
        <v>Sun</v>
      </c>
      <c r="M6" s="12" t="str">
        <f t="shared" si="0"/>
        <v>Mon</v>
      </c>
      <c r="N6" s="12" t="str">
        <f t="shared" si="0"/>
        <v>Tue</v>
      </c>
      <c r="O6" s="12" t="str">
        <f t="shared" si="0"/>
        <v>Wed</v>
      </c>
      <c r="P6" s="12" t="str">
        <f t="shared" si="0"/>
        <v>Thu</v>
      </c>
      <c r="Q6" s="12" t="str">
        <f t="shared" si="0"/>
        <v>Fri</v>
      </c>
      <c r="R6" s="12" t="str">
        <f t="shared" si="0"/>
        <v>Sat</v>
      </c>
      <c r="S6" s="12" t="str">
        <f t="shared" si="0"/>
        <v>Sun</v>
      </c>
      <c r="T6" s="12" t="str">
        <f t="shared" si="0"/>
        <v>Mon</v>
      </c>
      <c r="U6" s="12" t="str">
        <f t="shared" si="0"/>
        <v>Tue</v>
      </c>
      <c r="V6" s="12" t="str">
        <f t="shared" si="0"/>
        <v>Wed</v>
      </c>
      <c r="W6" s="12" t="str">
        <f t="shared" si="0"/>
        <v>Thu</v>
      </c>
      <c r="X6" s="12" t="str">
        <f t="shared" si="0"/>
        <v>Fri</v>
      </c>
      <c r="Y6" s="12" t="str">
        <f t="shared" si="0"/>
        <v>Sat</v>
      </c>
      <c r="Z6" s="12" t="str">
        <f t="shared" si="0"/>
        <v>Sun</v>
      </c>
      <c r="AA6" s="12" t="str">
        <f t="shared" si="0"/>
        <v>Mon</v>
      </c>
      <c r="AB6" s="12" t="str">
        <f t="shared" si="0"/>
        <v>Tue</v>
      </c>
      <c r="AC6" s="12" t="str">
        <f t="shared" si="0"/>
        <v>Wed</v>
      </c>
      <c r="AD6" s="12" t="str">
        <f t="shared" si="0"/>
        <v>Thu</v>
      </c>
      <c r="AE6" s="12" t="str">
        <f t="shared" si="0"/>
        <v>Fri</v>
      </c>
      <c r="AF6" s="12" t="str">
        <f t="shared" si="0"/>
        <v>Sat</v>
      </c>
      <c r="AG6" s="12" t="str">
        <f t="shared" si="0"/>
        <v>Sun</v>
      </c>
      <c r="AH6" s="12" t="str">
        <f t="shared" si="0"/>
        <v>Mon</v>
      </c>
      <c r="AI6" s="12" t="str">
        <f t="shared" si="0"/>
        <v>Tue</v>
      </c>
      <c r="AJ6" s="12" t="str">
        <f t="shared" si="0"/>
        <v>Wed</v>
      </c>
      <c r="AK6" s="12" t="str">
        <f t="shared" si="0"/>
        <v>Thu</v>
      </c>
      <c r="AL6" s="12" t="str">
        <f t="shared" si="0"/>
        <v>Fri</v>
      </c>
      <c r="AM6" s="13" t="str">
        <f t="shared" si="0"/>
        <v/>
      </c>
      <c r="AN6" s="13" t="str">
        <f t="shared" si="0"/>
        <v/>
      </c>
      <c r="AO6" s="14" t="str">
        <f>TEXT(AO7,"ddd")</f>
        <v/>
      </c>
    </row>
    <row r="7" spans="6:66" ht="14.25" customHeight="1" x14ac:dyDescent="0.35">
      <c r="G7" s="25" t="s">
        <v>0</v>
      </c>
      <c r="H7" s="25" t="s">
        <v>1</v>
      </c>
      <c r="I7" s="25" t="s">
        <v>2</v>
      </c>
      <c r="J7" s="8" t="s">
        <v>24</v>
      </c>
      <c r="K7" s="9">
        <f>G5</f>
        <v>45689</v>
      </c>
      <c r="L7" s="9">
        <f>IF(K7&lt;$M$5,1+K7,"")</f>
        <v>45690</v>
      </c>
      <c r="M7" s="9">
        <f t="shared" ref="M7:AL7" si="1">IF(L7&lt;$M$5,1+L7,"")</f>
        <v>45691</v>
      </c>
      <c r="N7" s="9">
        <f t="shared" si="1"/>
        <v>45692</v>
      </c>
      <c r="O7" s="9">
        <f t="shared" si="1"/>
        <v>45693</v>
      </c>
      <c r="P7" s="9">
        <f t="shared" si="1"/>
        <v>45694</v>
      </c>
      <c r="Q7" s="9">
        <f t="shared" si="1"/>
        <v>45695</v>
      </c>
      <c r="R7" s="9">
        <f t="shared" si="1"/>
        <v>45696</v>
      </c>
      <c r="S7" s="9">
        <f t="shared" si="1"/>
        <v>45697</v>
      </c>
      <c r="T7" s="9">
        <f t="shared" si="1"/>
        <v>45698</v>
      </c>
      <c r="U7" s="9">
        <f t="shared" si="1"/>
        <v>45699</v>
      </c>
      <c r="V7" s="9">
        <f t="shared" si="1"/>
        <v>45700</v>
      </c>
      <c r="W7" s="9">
        <f t="shared" si="1"/>
        <v>45701</v>
      </c>
      <c r="X7" s="9">
        <f t="shared" si="1"/>
        <v>45702</v>
      </c>
      <c r="Y7" s="9">
        <f t="shared" si="1"/>
        <v>45703</v>
      </c>
      <c r="Z7" s="9">
        <f t="shared" si="1"/>
        <v>45704</v>
      </c>
      <c r="AA7" s="9">
        <f>IF(Z7&lt;$M$5,1+Z7,"")</f>
        <v>45705</v>
      </c>
      <c r="AB7" s="9">
        <f t="shared" si="1"/>
        <v>45706</v>
      </c>
      <c r="AC7" s="9">
        <f t="shared" si="1"/>
        <v>45707</v>
      </c>
      <c r="AD7" s="9">
        <f t="shared" si="1"/>
        <v>45708</v>
      </c>
      <c r="AE7" s="9">
        <f t="shared" si="1"/>
        <v>45709</v>
      </c>
      <c r="AF7" s="9">
        <f t="shared" si="1"/>
        <v>45710</v>
      </c>
      <c r="AG7" s="9">
        <f t="shared" si="1"/>
        <v>45711</v>
      </c>
      <c r="AH7" s="9">
        <f t="shared" si="1"/>
        <v>45712</v>
      </c>
      <c r="AI7" s="9">
        <f t="shared" si="1"/>
        <v>45713</v>
      </c>
      <c r="AJ7" s="9">
        <f t="shared" si="1"/>
        <v>45714</v>
      </c>
      <c r="AK7" s="9">
        <f t="shared" si="1"/>
        <v>45715</v>
      </c>
      <c r="AL7" s="9">
        <f t="shared" si="1"/>
        <v>45716</v>
      </c>
      <c r="AM7" s="9" t="str">
        <f>IF(AL7&lt;$M$5,1+AL7,"")</f>
        <v/>
      </c>
      <c r="AN7" s="9" t="str">
        <f>IF(AM7&lt;$M$5,1+AM7,"")</f>
        <v/>
      </c>
      <c r="AO7" s="10" t="str">
        <f>IF(AN7&lt;$M$5,1+AN7,"")</f>
        <v/>
      </c>
      <c r="AP7" s="5"/>
      <c r="AQ7" s="5"/>
      <c r="AR7" s="18" t="s">
        <v>0</v>
      </c>
      <c r="AS7" s="18" t="s">
        <v>1</v>
      </c>
      <c r="AT7" s="18" t="s">
        <v>72</v>
      </c>
      <c r="AU7" s="18" t="s">
        <v>2</v>
      </c>
      <c r="AV7" s="17" t="s">
        <v>28</v>
      </c>
      <c r="AW7" s="17" t="s">
        <v>29</v>
      </c>
      <c r="AX7" s="17" t="s">
        <v>30</v>
      </c>
      <c r="AY7" s="17" t="s">
        <v>24</v>
      </c>
      <c r="AZ7" s="17" t="s">
        <v>26</v>
      </c>
      <c r="BA7" s="17" t="s">
        <v>31</v>
      </c>
      <c r="BB7" s="17" t="s">
        <v>32</v>
      </c>
      <c r="BC7" s="17" t="s">
        <v>33</v>
      </c>
      <c r="BD7" s="17" t="s">
        <v>34</v>
      </c>
      <c r="BE7" s="17" t="s">
        <v>35</v>
      </c>
      <c r="BF7" s="16"/>
      <c r="BG7" s="5"/>
      <c r="BH7" s="5"/>
      <c r="BI7" s="5"/>
      <c r="BJ7" s="5"/>
      <c r="BK7" s="5"/>
      <c r="BL7" s="5"/>
      <c r="BM7" s="5"/>
      <c r="BN7" s="5"/>
    </row>
    <row r="8" spans="6:66" ht="14.25" customHeight="1" x14ac:dyDescent="0.35">
      <c r="G8" s="7">
        <v>1</v>
      </c>
      <c r="H8" s="27" t="s">
        <v>37</v>
      </c>
      <c r="I8" s="7">
        <v>1001</v>
      </c>
      <c r="J8" s="15">
        <f>COUNTIF(K$6:AO$6,"Sun")</f>
        <v>4</v>
      </c>
      <c r="K8" s="7" t="s">
        <v>36</v>
      </c>
      <c r="L8" s="7" t="s">
        <v>58</v>
      </c>
      <c r="M8" s="7" t="s">
        <v>36</v>
      </c>
      <c r="N8" s="7" t="s">
        <v>36</v>
      </c>
      <c r="O8" s="7" t="s">
        <v>36</v>
      </c>
      <c r="P8" s="7" t="s">
        <v>57</v>
      </c>
      <c r="Q8" s="7" t="s">
        <v>56</v>
      </c>
      <c r="R8" s="7" t="s">
        <v>56</v>
      </c>
      <c r="S8" s="7" t="s">
        <v>58</v>
      </c>
      <c r="T8" s="7" t="s">
        <v>57</v>
      </c>
      <c r="U8" s="7" t="s">
        <v>36</v>
      </c>
      <c r="V8" s="7" t="s">
        <v>36</v>
      </c>
      <c r="W8" s="7" t="s">
        <v>36</v>
      </c>
      <c r="X8" s="7" t="s">
        <v>56</v>
      </c>
      <c r="Y8" s="7" t="s">
        <v>56</v>
      </c>
      <c r="Z8" s="7" t="s">
        <v>58</v>
      </c>
      <c r="AA8" s="7" t="s">
        <v>36</v>
      </c>
      <c r="AB8" s="7" t="s">
        <v>36</v>
      </c>
      <c r="AC8" s="7" t="s">
        <v>36</v>
      </c>
      <c r="AD8" s="7" t="s">
        <v>56</v>
      </c>
      <c r="AE8" s="7" t="s">
        <v>36</v>
      </c>
      <c r="AF8" s="7" t="s">
        <v>36</v>
      </c>
      <c r="AG8" s="7" t="s">
        <v>58</v>
      </c>
      <c r="AH8" s="7" t="s">
        <v>36</v>
      </c>
      <c r="AI8" s="7" t="s">
        <v>36</v>
      </c>
      <c r="AJ8" s="7" t="s">
        <v>36</v>
      </c>
      <c r="AK8" s="7" t="s">
        <v>36</v>
      </c>
      <c r="AL8" s="7" t="s">
        <v>36</v>
      </c>
      <c r="AM8" s="7"/>
      <c r="AN8" s="7"/>
      <c r="AO8" s="7"/>
      <c r="AP8" s="5"/>
      <c r="AQ8" s="5"/>
      <c r="AR8" s="7">
        <v>1</v>
      </c>
      <c r="AS8" s="29" t="s">
        <v>37</v>
      </c>
      <c r="AT8" s="7" t="s">
        <v>63</v>
      </c>
      <c r="AU8" s="7">
        <v>1001</v>
      </c>
      <c r="AV8" s="30">
        <f t="shared" ref="AV8:AV27" si="2">COUNTIF($K8:$AO8,"P")</f>
        <v>17</v>
      </c>
      <c r="AW8" s="30">
        <f>COUNTIF($K8:$AO8,"A")</f>
        <v>5</v>
      </c>
      <c r="AX8" s="30">
        <f t="shared" ref="AX8:AX27" si="3">COUNTIF($K8:$AO8,"L")</f>
        <v>2</v>
      </c>
      <c r="AY8" s="31">
        <f t="shared" ref="AY8:AY27" si="4">COUNTIF($K8:$AO8,"WO")</f>
        <v>4</v>
      </c>
      <c r="AZ8" s="31">
        <f>($M$5-$H$5)+1</f>
        <v>28</v>
      </c>
      <c r="BA8" s="32">
        <f>Table13[[#This Row],[Days]]-Table13[[#This Row],[Absent]]</f>
        <v>23</v>
      </c>
      <c r="BB8" s="33">
        <v>4500</v>
      </c>
      <c r="BC8" s="47">
        <f>Table13[[#This Row],[Salary]]/Table13[[#This Row],[Days]]</f>
        <v>160.71428571428572</v>
      </c>
      <c r="BD8" s="34">
        <f>Table13[[#This Row],[Per Day Salary]]*Table13[[#This Row],[Absent]]</f>
        <v>803.57142857142867</v>
      </c>
      <c r="BE8" s="33">
        <f>Table13[[#This Row],[Salary]]-Table13[[#This Row],[Deduction ]]</f>
        <v>3696.4285714285716</v>
      </c>
      <c r="BF8" s="5"/>
      <c r="BG8" s="5"/>
      <c r="BH8" s="5"/>
      <c r="BI8" s="5"/>
      <c r="BJ8" s="5"/>
      <c r="BK8" s="5"/>
      <c r="BL8" s="5"/>
    </row>
    <row r="9" spans="6:66" x14ac:dyDescent="0.35">
      <c r="G9" s="7">
        <v>2</v>
      </c>
      <c r="H9" s="27" t="s">
        <v>38</v>
      </c>
      <c r="I9" s="7">
        <v>1002</v>
      </c>
      <c r="J9" s="15">
        <f t="shared" ref="J9:J27" si="5">COUNTIF(K$6:AO$6,"Sun")</f>
        <v>4</v>
      </c>
      <c r="K9" s="7" t="s">
        <v>36</v>
      </c>
      <c r="L9" s="7" t="s">
        <v>58</v>
      </c>
      <c r="M9" s="7" t="s">
        <v>36</v>
      </c>
      <c r="N9" s="7" t="s">
        <v>36</v>
      </c>
      <c r="O9" s="7" t="s">
        <v>36</v>
      </c>
      <c r="P9" s="7" t="s">
        <v>57</v>
      </c>
      <c r="Q9" s="7" t="s">
        <v>56</v>
      </c>
      <c r="R9" s="7" t="s">
        <v>56</v>
      </c>
      <c r="S9" s="7" t="s">
        <v>58</v>
      </c>
      <c r="T9" s="7" t="s">
        <v>57</v>
      </c>
      <c r="U9" s="7" t="s">
        <v>36</v>
      </c>
      <c r="V9" s="7" t="s">
        <v>36</v>
      </c>
      <c r="W9" s="7" t="s">
        <v>36</v>
      </c>
      <c r="X9" s="7" t="s">
        <v>56</v>
      </c>
      <c r="Y9" s="7" t="s">
        <v>56</v>
      </c>
      <c r="Z9" s="7" t="s">
        <v>58</v>
      </c>
      <c r="AA9" s="7" t="s">
        <v>36</v>
      </c>
      <c r="AB9" s="7" t="s">
        <v>36</v>
      </c>
      <c r="AC9" s="7" t="s">
        <v>36</v>
      </c>
      <c r="AD9" s="7" t="s">
        <v>36</v>
      </c>
      <c r="AE9" s="7" t="s">
        <v>36</v>
      </c>
      <c r="AF9" s="7" t="s">
        <v>36</v>
      </c>
      <c r="AG9" s="7" t="s">
        <v>58</v>
      </c>
      <c r="AH9" s="7" t="s">
        <v>36</v>
      </c>
      <c r="AI9" s="7" t="s">
        <v>36</v>
      </c>
      <c r="AJ9" s="7" t="s">
        <v>36</v>
      </c>
      <c r="AK9" s="7" t="s">
        <v>36</v>
      </c>
      <c r="AL9" s="7" t="s">
        <v>36</v>
      </c>
      <c r="AM9" s="7"/>
      <c r="AN9" s="7"/>
      <c r="AO9" s="7"/>
      <c r="AP9" s="5"/>
      <c r="AQ9" s="5"/>
      <c r="AR9" s="7">
        <v>2</v>
      </c>
      <c r="AS9" s="7" t="s">
        <v>38</v>
      </c>
      <c r="AT9" s="7" t="s">
        <v>63</v>
      </c>
      <c r="AU9" s="7">
        <v>1002</v>
      </c>
      <c r="AV9" s="30">
        <f t="shared" si="2"/>
        <v>18</v>
      </c>
      <c r="AW9" s="30">
        <f>COUNTIF($K9:$AO9,"A")</f>
        <v>4</v>
      </c>
      <c r="AX9" s="35">
        <f t="shared" si="3"/>
        <v>2</v>
      </c>
      <c r="AY9" s="31">
        <f t="shared" si="4"/>
        <v>4</v>
      </c>
      <c r="AZ9" s="31">
        <f t="shared" ref="AZ9:AZ27" si="6">($M$5-$H$5)+1</f>
        <v>28</v>
      </c>
      <c r="BA9" s="32">
        <f>Table13[[#This Row],[Days]]-Table13[[#This Row],[Absent]]</f>
        <v>24</v>
      </c>
      <c r="BB9" s="33">
        <v>4600</v>
      </c>
      <c r="BC9" s="47">
        <f>Table13[[#This Row],[Salary]]/Table13[[#This Row],[Days]]</f>
        <v>164.28571428571428</v>
      </c>
      <c r="BD9" s="34">
        <f>Table13[[#This Row],[Per Day Salary]]*Table13[[#This Row],[Absent]]</f>
        <v>657.14285714285711</v>
      </c>
      <c r="BE9" s="33">
        <f>Table13[[#This Row],[Salary]]-Table13[[#This Row],[Deduction ]]</f>
        <v>3942.8571428571431</v>
      </c>
      <c r="BF9" s="5"/>
      <c r="BG9" s="5"/>
      <c r="BH9" s="5"/>
      <c r="BI9" s="5"/>
      <c r="BJ9" s="5"/>
      <c r="BK9" s="5"/>
      <c r="BL9" s="5"/>
    </row>
    <row r="10" spans="6:66" x14ac:dyDescent="0.35">
      <c r="G10" s="7">
        <v>3</v>
      </c>
      <c r="H10" s="27" t="s">
        <v>39</v>
      </c>
      <c r="I10" s="7">
        <v>1003</v>
      </c>
      <c r="J10" s="15">
        <f t="shared" si="5"/>
        <v>4</v>
      </c>
      <c r="K10" s="7" t="s">
        <v>36</v>
      </c>
      <c r="L10" s="7" t="s">
        <v>58</v>
      </c>
      <c r="M10" s="7" t="s">
        <v>36</v>
      </c>
      <c r="N10" s="7" t="s">
        <v>36</v>
      </c>
      <c r="O10" s="7" t="s">
        <v>36</v>
      </c>
      <c r="P10" s="7" t="s">
        <v>57</v>
      </c>
      <c r="Q10" s="7" t="s">
        <v>56</v>
      </c>
      <c r="R10" s="7" t="s">
        <v>56</v>
      </c>
      <c r="S10" s="7" t="s">
        <v>58</v>
      </c>
      <c r="T10" s="7" t="s">
        <v>57</v>
      </c>
      <c r="U10" s="7" t="s">
        <v>36</v>
      </c>
      <c r="V10" s="7" t="s">
        <v>36</v>
      </c>
      <c r="W10" s="7" t="s">
        <v>36</v>
      </c>
      <c r="X10" s="7" t="s">
        <v>56</v>
      </c>
      <c r="Y10" s="7" t="s">
        <v>56</v>
      </c>
      <c r="Z10" s="7" t="s">
        <v>58</v>
      </c>
      <c r="AA10" s="7" t="s">
        <v>36</v>
      </c>
      <c r="AB10" s="7" t="s">
        <v>36</v>
      </c>
      <c r="AC10" s="7" t="s">
        <v>36</v>
      </c>
      <c r="AD10" s="7" t="s">
        <v>36</v>
      </c>
      <c r="AE10" s="7" t="s">
        <v>36</v>
      </c>
      <c r="AF10" s="7" t="s">
        <v>36</v>
      </c>
      <c r="AG10" s="7" t="s">
        <v>58</v>
      </c>
      <c r="AH10" s="7" t="s">
        <v>36</v>
      </c>
      <c r="AI10" s="7" t="s">
        <v>36</v>
      </c>
      <c r="AJ10" s="7" t="s">
        <v>36</v>
      </c>
      <c r="AK10" s="7" t="s">
        <v>36</v>
      </c>
      <c r="AL10" s="7" t="s">
        <v>36</v>
      </c>
      <c r="AM10" s="7"/>
      <c r="AN10" s="7"/>
      <c r="AO10" s="7"/>
      <c r="AP10" s="5"/>
      <c r="AQ10" s="5"/>
      <c r="AR10" s="7">
        <v>3</v>
      </c>
      <c r="AS10" s="7" t="s">
        <v>39</v>
      </c>
      <c r="AT10" s="7" t="s">
        <v>63</v>
      </c>
      <c r="AU10" s="7">
        <v>1003</v>
      </c>
      <c r="AV10" s="30">
        <f t="shared" si="2"/>
        <v>18</v>
      </c>
      <c r="AW10" s="30">
        <f t="shared" ref="AW10:AW27" si="7">COUNTIF($K10:$AO10,"A")</f>
        <v>4</v>
      </c>
      <c r="AX10" s="30">
        <f t="shared" si="3"/>
        <v>2</v>
      </c>
      <c r="AY10" s="31">
        <f t="shared" si="4"/>
        <v>4</v>
      </c>
      <c r="AZ10" s="31">
        <f t="shared" si="6"/>
        <v>28</v>
      </c>
      <c r="BA10" s="32">
        <f>Table13[[#This Row],[Days]]-Table13[[#This Row],[Absent]]</f>
        <v>24</v>
      </c>
      <c r="BB10" s="33">
        <v>4700</v>
      </c>
      <c r="BC10" s="47">
        <f>Table13[[#This Row],[Salary]]/Table13[[#This Row],[Days]]</f>
        <v>167.85714285714286</v>
      </c>
      <c r="BD10" s="34">
        <f>Table13[[#This Row],[Per Day Salary]]*Table13[[#This Row],[Absent]]</f>
        <v>671.42857142857144</v>
      </c>
      <c r="BE10" s="33">
        <f>Table13[[#This Row],[Salary]]-Table13[[#This Row],[Deduction ]]</f>
        <v>4028.5714285714284</v>
      </c>
      <c r="BF10" s="5"/>
      <c r="BG10" s="5"/>
      <c r="BH10" s="5"/>
      <c r="BI10" s="5"/>
      <c r="BJ10" s="5"/>
      <c r="BK10" s="5"/>
      <c r="BL10" s="5"/>
    </row>
    <row r="11" spans="6:66" x14ac:dyDescent="0.35">
      <c r="G11" s="7">
        <v>4</v>
      </c>
      <c r="H11" s="27" t="s">
        <v>59</v>
      </c>
      <c r="I11" s="7">
        <v>1004</v>
      </c>
      <c r="J11" s="15">
        <f t="shared" si="5"/>
        <v>4</v>
      </c>
      <c r="K11" s="7" t="s">
        <v>36</v>
      </c>
      <c r="L11" s="7" t="s">
        <v>58</v>
      </c>
      <c r="M11" s="7" t="s">
        <v>36</v>
      </c>
      <c r="N11" s="7" t="s">
        <v>36</v>
      </c>
      <c r="O11" s="7" t="s">
        <v>36</v>
      </c>
      <c r="P11" s="7" t="s">
        <v>57</v>
      </c>
      <c r="Q11" s="7" t="s">
        <v>56</v>
      </c>
      <c r="R11" s="7" t="s">
        <v>56</v>
      </c>
      <c r="S11" s="7" t="s">
        <v>58</v>
      </c>
      <c r="T11" s="7" t="s">
        <v>57</v>
      </c>
      <c r="U11" s="7" t="s">
        <v>36</v>
      </c>
      <c r="V11" s="7" t="s">
        <v>36</v>
      </c>
      <c r="W11" s="7" t="s">
        <v>36</v>
      </c>
      <c r="X11" s="7" t="s">
        <v>56</v>
      </c>
      <c r="Y11" s="7" t="s">
        <v>56</v>
      </c>
      <c r="Z11" s="7" t="s">
        <v>58</v>
      </c>
      <c r="AA11" s="7" t="s">
        <v>36</v>
      </c>
      <c r="AB11" s="7" t="s">
        <v>36</v>
      </c>
      <c r="AC11" s="7" t="s">
        <v>36</v>
      </c>
      <c r="AD11" s="7" t="s">
        <v>36</v>
      </c>
      <c r="AE11" s="7" t="s">
        <v>36</v>
      </c>
      <c r="AF11" s="7" t="s">
        <v>36</v>
      </c>
      <c r="AG11" s="7" t="s">
        <v>58</v>
      </c>
      <c r="AH11" s="7" t="s">
        <v>36</v>
      </c>
      <c r="AI11" s="7" t="s">
        <v>36</v>
      </c>
      <c r="AJ11" s="7" t="s">
        <v>36</v>
      </c>
      <c r="AK11" s="7" t="s">
        <v>36</v>
      </c>
      <c r="AL11" s="7" t="s">
        <v>36</v>
      </c>
      <c r="AM11" s="7"/>
      <c r="AN11" s="7"/>
      <c r="AO11" s="7"/>
      <c r="AP11" s="5"/>
      <c r="AQ11" s="5"/>
      <c r="AR11" s="7">
        <v>4</v>
      </c>
      <c r="AS11" s="7" t="s">
        <v>59</v>
      </c>
      <c r="AT11" s="7" t="s">
        <v>63</v>
      </c>
      <c r="AU11" s="7">
        <v>1004</v>
      </c>
      <c r="AV11" s="30">
        <f t="shared" si="2"/>
        <v>18</v>
      </c>
      <c r="AW11" s="30">
        <f t="shared" si="7"/>
        <v>4</v>
      </c>
      <c r="AX11" s="30">
        <f t="shared" si="3"/>
        <v>2</v>
      </c>
      <c r="AY11" s="31">
        <f t="shared" si="4"/>
        <v>4</v>
      </c>
      <c r="AZ11" s="31">
        <f t="shared" si="6"/>
        <v>28</v>
      </c>
      <c r="BA11" s="32">
        <f>Table13[[#This Row],[Days]]-Table13[[#This Row],[Absent]]</f>
        <v>24</v>
      </c>
      <c r="BB11" s="33">
        <v>4800</v>
      </c>
      <c r="BC11" s="47">
        <f>Table13[[#This Row],[Salary]]/Table13[[#This Row],[Days]]</f>
        <v>171.42857142857142</v>
      </c>
      <c r="BD11" s="34">
        <f>Table13[[#This Row],[Per Day Salary]]*Table13[[#This Row],[Absent]]</f>
        <v>685.71428571428567</v>
      </c>
      <c r="BE11" s="33">
        <f>Table13[[#This Row],[Salary]]-Table13[[#This Row],[Deduction ]]</f>
        <v>4114.2857142857147</v>
      </c>
      <c r="BF11" s="5"/>
      <c r="BG11" s="5"/>
      <c r="BH11" s="5"/>
      <c r="BI11" s="5"/>
      <c r="BJ11" s="5"/>
      <c r="BK11" s="5"/>
      <c r="BL11" s="5"/>
    </row>
    <row r="12" spans="6:66" ht="14.15" customHeight="1" x14ac:dyDescent="0.35">
      <c r="G12" s="7">
        <v>5</v>
      </c>
      <c r="H12" s="27" t="s">
        <v>40</v>
      </c>
      <c r="I12" s="7">
        <v>1005</v>
      </c>
      <c r="J12" s="15">
        <f t="shared" si="5"/>
        <v>4</v>
      </c>
      <c r="K12" s="7" t="s">
        <v>36</v>
      </c>
      <c r="L12" s="7" t="s">
        <v>58</v>
      </c>
      <c r="M12" s="7" t="s">
        <v>36</v>
      </c>
      <c r="N12" s="7" t="s">
        <v>36</v>
      </c>
      <c r="O12" s="7" t="s">
        <v>36</v>
      </c>
      <c r="P12" s="7" t="s">
        <v>57</v>
      </c>
      <c r="Q12" s="7" t="s">
        <v>56</v>
      </c>
      <c r="R12" s="7" t="s">
        <v>56</v>
      </c>
      <c r="S12" s="7" t="s">
        <v>58</v>
      </c>
      <c r="T12" s="7" t="s">
        <v>57</v>
      </c>
      <c r="U12" s="7" t="s">
        <v>36</v>
      </c>
      <c r="V12" s="7" t="s">
        <v>36</v>
      </c>
      <c r="W12" s="7" t="s">
        <v>36</v>
      </c>
      <c r="X12" s="7" t="s">
        <v>56</v>
      </c>
      <c r="Y12" s="7" t="s">
        <v>56</v>
      </c>
      <c r="Z12" s="7" t="s">
        <v>58</v>
      </c>
      <c r="AA12" s="7" t="s">
        <v>36</v>
      </c>
      <c r="AB12" s="7" t="s">
        <v>36</v>
      </c>
      <c r="AC12" s="7" t="s">
        <v>36</v>
      </c>
      <c r="AD12" s="7" t="s">
        <v>36</v>
      </c>
      <c r="AE12" s="7" t="s">
        <v>36</v>
      </c>
      <c r="AF12" s="7" t="s">
        <v>36</v>
      </c>
      <c r="AG12" s="7" t="s">
        <v>58</v>
      </c>
      <c r="AH12" s="7" t="s">
        <v>36</v>
      </c>
      <c r="AI12" s="7" t="s">
        <v>36</v>
      </c>
      <c r="AJ12" s="7" t="s">
        <v>36</v>
      </c>
      <c r="AK12" s="7" t="s">
        <v>36</v>
      </c>
      <c r="AL12" s="7" t="s">
        <v>36</v>
      </c>
      <c r="AM12" s="7"/>
      <c r="AN12" s="7"/>
      <c r="AO12" s="7"/>
      <c r="AP12" s="5"/>
      <c r="AQ12" s="5"/>
      <c r="AR12" s="7">
        <v>5</v>
      </c>
      <c r="AS12" s="7" t="s">
        <v>40</v>
      </c>
      <c r="AT12" s="7" t="s">
        <v>63</v>
      </c>
      <c r="AU12" s="7">
        <v>1005</v>
      </c>
      <c r="AV12" s="30">
        <f t="shared" si="2"/>
        <v>18</v>
      </c>
      <c r="AW12" s="30">
        <f t="shared" si="7"/>
        <v>4</v>
      </c>
      <c r="AX12" s="30">
        <f t="shared" si="3"/>
        <v>2</v>
      </c>
      <c r="AY12" s="31">
        <f t="shared" si="4"/>
        <v>4</v>
      </c>
      <c r="AZ12" s="31">
        <f t="shared" si="6"/>
        <v>28</v>
      </c>
      <c r="BA12" s="32">
        <f>Table13[[#This Row],[Days]]-Table13[[#This Row],[Absent]]</f>
        <v>24</v>
      </c>
      <c r="BB12" s="33">
        <v>4900</v>
      </c>
      <c r="BC12" s="47">
        <f>Table13[[#This Row],[Salary]]/Table13[[#This Row],[Days]]</f>
        <v>175</v>
      </c>
      <c r="BD12" s="34">
        <f>Table13[[#This Row],[Per Day Salary]]*Table13[[#This Row],[Absent]]</f>
        <v>700</v>
      </c>
      <c r="BE12" s="33">
        <f>Table13[[#This Row],[Salary]]-Table13[[#This Row],[Deduction ]]</f>
        <v>4200</v>
      </c>
      <c r="BF12" s="5"/>
      <c r="BG12" s="5"/>
      <c r="BH12" s="5"/>
      <c r="BI12" s="5"/>
      <c r="BJ12" s="5"/>
      <c r="BK12" s="5"/>
      <c r="BL12" s="5"/>
    </row>
    <row r="13" spans="6:66" x14ac:dyDescent="0.35">
      <c r="G13" s="7">
        <v>6</v>
      </c>
      <c r="H13" s="27" t="s">
        <v>41</v>
      </c>
      <c r="I13" s="7">
        <v>1006</v>
      </c>
      <c r="J13" s="15">
        <f t="shared" si="5"/>
        <v>4</v>
      </c>
      <c r="K13" s="7" t="s">
        <v>36</v>
      </c>
      <c r="L13" s="7" t="s">
        <v>58</v>
      </c>
      <c r="M13" s="7" t="s">
        <v>36</v>
      </c>
      <c r="N13" s="7" t="s">
        <v>36</v>
      </c>
      <c r="O13" s="7" t="s">
        <v>36</v>
      </c>
      <c r="P13" s="7" t="s">
        <v>57</v>
      </c>
      <c r="Q13" s="7" t="s">
        <v>56</v>
      </c>
      <c r="R13" s="7" t="s">
        <v>56</v>
      </c>
      <c r="S13" s="7" t="s">
        <v>58</v>
      </c>
      <c r="T13" s="7" t="s">
        <v>57</v>
      </c>
      <c r="U13" s="7" t="s">
        <v>36</v>
      </c>
      <c r="V13" s="7" t="s">
        <v>36</v>
      </c>
      <c r="W13" s="7" t="s">
        <v>36</v>
      </c>
      <c r="X13" s="7" t="s">
        <v>56</v>
      </c>
      <c r="Y13" s="7" t="s">
        <v>56</v>
      </c>
      <c r="Z13" s="7" t="s">
        <v>58</v>
      </c>
      <c r="AA13" s="7" t="s">
        <v>36</v>
      </c>
      <c r="AB13" s="7" t="s">
        <v>36</v>
      </c>
      <c r="AC13" s="7" t="s">
        <v>36</v>
      </c>
      <c r="AD13" s="7" t="s">
        <v>36</v>
      </c>
      <c r="AE13" s="7" t="s">
        <v>36</v>
      </c>
      <c r="AF13" s="7" t="s">
        <v>36</v>
      </c>
      <c r="AG13" s="7" t="s">
        <v>58</v>
      </c>
      <c r="AH13" s="7" t="s">
        <v>36</v>
      </c>
      <c r="AI13" s="7" t="s">
        <v>36</v>
      </c>
      <c r="AJ13" s="7" t="s">
        <v>36</v>
      </c>
      <c r="AK13" s="7" t="s">
        <v>36</v>
      </c>
      <c r="AL13" s="7" t="s">
        <v>36</v>
      </c>
      <c r="AM13" s="7"/>
      <c r="AN13" s="7"/>
      <c r="AO13" s="7"/>
      <c r="AP13" s="5"/>
      <c r="AQ13" s="5"/>
      <c r="AR13" s="7">
        <v>6</v>
      </c>
      <c r="AS13" s="7" t="s">
        <v>41</v>
      </c>
      <c r="AT13" s="7" t="s">
        <v>63</v>
      </c>
      <c r="AU13" s="7">
        <v>1006</v>
      </c>
      <c r="AV13" s="30">
        <f t="shared" si="2"/>
        <v>18</v>
      </c>
      <c r="AW13" s="30">
        <f t="shared" si="7"/>
        <v>4</v>
      </c>
      <c r="AX13" s="30">
        <f t="shared" si="3"/>
        <v>2</v>
      </c>
      <c r="AY13" s="31">
        <f t="shared" si="4"/>
        <v>4</v>
      </c>
      <c r="AZ13" s="31">
        <f t="shared" si="6"/>
        <v>28</v>
      </c>
      <c r="BA13" s="32">
        <f>Table13[[#This Row],[Days]]-Table13[[#This Row],[Absent]]</f>
        <v>24</v>
      </c>
      <c r="BB13" s="33">
        <v>5000</v>
      </c>
      <c r="BC13" s="47">
        <f>Table13[[#This Row],[Salary]]/Table13[[#This Row],[Days]]</f>
        <v>178.57142857142858</v>
      </c>
      <c r="BD13" s="34">
        <f>Table13[[#This Row],[Per Day Salary]]*Table13[[#This Row],[Absent]]</f>
        <v>714.28571428571433</v>
      </c>
      <c r="BE13" s="33">
        <f>Table13[[#This Row],[Salary]]-Table13[[#This Row],[Deduction ]]</f>
        <v>4285.7142857142853</v>
      </c>
      <c r="BF13" s="5"/>
      <c r="BG13" s="5"/>
      <c r="BH13" s="5"/>
      <c r="BI13" s="5"/>
      <c r="BJ13" s="5"/>
      <c r="BK13" s="5"/>
      <c r="BL13" s="5"/>
    </row>
    <row r="14" spans="6:66" x14ac:dyDescent="0.35">
      <c r="G14" s="7">
        <v>7</v>
      </c>
      <c r="H14" s="27" t="s">
        <v>42</v>
      </c>
      <c r="I14" s="7">
        <v>1007</v>
      </c>
      <c r="J14" s="15">
        <f t="shared" si="5"/>
        <v>4</v>
      </c>
      <c r="K14" s="7" t="s">
        <v>36</v>
      </c>
      <c r="L14" s="7" t="s">
        <v>58</v>
      </c>
      <c r="M14" s="7" t="s">
        <v>36</v>
      </c>
      <c r="N14" s="7" t="s">
        <v>36</v>
      </c>
      <c r="O14" s="7" t="s">
        <v>36</v>
      </c>
      <c r="P14" s="7" t="s">
        <v>57</v>
      </c>
      <c r="Q14" s="7" t="s">
        <v>56</v>
      </c>
      <c r="R14" s="7" t="s">
        <v>56</v>
      </c>
      <c r="S14" s="7" t="s">
        <v>58</v>
      </c>
      <c r="T14" s="7" t="s">
        <v>57</v>
      </c>
      <c r="U14" s="7" t="s">
        <v>36</v>
      </c>
      <c r="V14" s="7" t="s">
        <v>36</v>
      </c>
      <c r="W14" s="7" t="s">
        <v>36</v>
      </c>
      <c r="X14" s="7" t="s">
        <v>56</v>
      </c>
      <c r="Y14" s="7" t="s">
        <v>56</v>
      </c>
      <c r="Z14" s="7" t="s">
        <v>58</v>
      </c>
      <c r="AA14" s="7" t="s">
        <v>36</v>
      </c>
      <c r="AB14" s="7" t="s">
        <v>36</v>
      </c>
      <c r="AC14" s="7" t="s">
        <v>36</v>
      </c>
      <c r="AD14" s="7" t="s">
        <v>36</v>
      </c>
      <c r="AE14" s="7" t="s">
        <v>36</v>
      </c>
      <c r="AF14" s="7" t="s">
        <v>36</v>
      </c>
      <c r="AG14" s="7" t="s">
        <v>58</v>
      </c>
      <c r="AH14" s="7" t="s">
        <v>36</v>
      </c>
      <c r="AI14" s="7" t="s">
        <v>36</v>
      </c>
      <c r="AJ14" s="7" t="s">
        <v>36</v>
      </c>
      <c r="AK14" s="7" t="s">
        <v>36</v>
      </c>
      <c r="AL14" s="7" t="s">
        <v>36</v>
      </c>
      <c r="AM14" s="7"/>
      <c r="AN14" s="7"/>
      <c r="AO14" s="7"/>
      <c r="AR14" s="7">
        <v>7</v>
      </c>
      <c r="AS14" s="7" t="s">
        <v>42</v>
      </c>
      <c r="AT14" s="7" t="s">
        <v>63</v>
      </c>
      <c r="AU14" s="7">
        <v>1007</v>
      </c>
      <c r="AV14" s="30">
        <f t="shared" si="2"/>
        <v>18</v>
      </c>
      <c r="AW14" s="30">
        <f t="shared" si="7"/>
        <v>4</v>
      </c>
      <c r="AX14" s="30">
        <f t="shared" si="3"/>
        <v>2</v>
      </c>
      <c r="AY14" s="31">
        <f t="shared" si="4"/>
        <v>4</v>
      </c>
      <c r="AZ14" s="31">
        <f t="shared" si="6"/>
        <v>28</v>
      </c>
      <c r="BA14" s="32">
        <f>Table13[[#This Row],[Days]]-Table13[[#This Row],[Absent]]</f>
        <v>24</v>
      </c>
      <c r="BB14" s="33">
        <v>5100</v>
      </c>
      <c r="BC14" s="47">
        <f>Table13[[#This Row],[Salary]]/Table13[[#This Row],[Days]]</f>
        <v>182.14285714285714</v>
      </c>
      <c r="BD14" s="34">
        <f>Table13[[#This Row],[Per Day Salary]]*Table13[[#This Row],[Absent]]</f>
        <v>728.57142857142856</v>
      </c>
      <c r="BE14" s="33">
        <f>Table13[[#This Row],[Salary]]-Table13[[#This Row],[Deduction ]]</f>
        <v>4371.4285714285716</v>
      </c>
    </row>
    <row r="15" spans="6:66" x14ac:dyDescent="0.35">
      <c r="G15" s="7">
        <v>8</v>
      </c>
      <c r="H15" s="27" t="s">
        <v>43</v>
      </c>
      <c r="I15" s="7">
        <v>1008</v>
      </c>
      <c r="J15" s="15">
        <f t="shared" si="5"/>
        <v>4</v>
      </c>
      <c r="K15" s="7" t="s">
        <v>36</v>
      </c>
      <c r="L15" s="7" t="s">
        <v>58</v>
      </c>
      <c r="M15" s="7" t="s">
        <v>36</v>
      </c>
      <c r="N15" s="7" t="s">
        <v>36</v>
      </c>
      <c r="O15" s="7" t="s">
        <v>36</v>
      </c>
      <c r="P15" s="7" t="s">
        <v>57</v>
      </c>
      <c r="Q15" s="7" t="s">
        <v>56</v>
      </c>
      <c r="R15" s="7" t="s">
        <v>56</v>
      </c>
      <c r="S15" s="7" t="s">
        <v>58</v>
      </c>
      <c r="T15" s="7" t="s">
        <v>57</v>
      </c>
      <c r="U15" s="7" t="s">
        <v>36</v>
      </c>
      <c r="V15" s="7" t="s">
        <v>36</v>
      </c>
      <c r="W15" s="7" t="s">
        <v>36</v>
      </c>
      <c r="X15" s="7" t="s">
        <v>56</v>
      </c>
      <c r="Y15" s="7" t="s">
        <v>56</v>
      </c>
      <c r="Z15" s="7" t="s">
        <v>58</v>
      </c>
      <c r="AA15" s="7" t="s">
        <v>36</v>
      </c>
      <c r="AB15" s="7" t="s">
        <v>36</v>
      </c>
      <c r="AC15" s="7" t="s">
        <v>36</v>
      </c>
      <c r="AD15" s="7" t="s">
        <v>36</v>
      </c>
      <c r="AE15" s="7" t="s">
        <v>36</v>
      </c>
      <c r="AF15" s="7" t="s">
        <v>36</v>
      </c>
      <c r="AG15" s="7" t="s">
        <v>58</v>
      </c>
      <c r="AH15" s="7" t="s">
        <v>36</v>
      </c>
      <c r="AI15" s="7" t="s">
        <v>36</v>
      </c>
      <c r="AJ15" s="7" t="s">
        <v>36</v>
      </c>
      <c r="AK15" s="7" t="s">
        <v>36</v>
      </c>
      <c r="AL15" s="7" t="s">
        <v>36</v>
      </c>
      <c r="AM15" s="7"/>
      <c r="AN15" s="7"/>
      <c r="AO15" s="7"/>
      <c r="AR15" s="7">
        <v>8</v>
      </c>
      <c r="AS15" s="7" t="s">
        <v>43</v>
      </c>
      <c r="AT15" s="7" t="s">
        <v>63</v>
      </c>
      <c r="AU15" s="7">
        <v>1008</v>
      </c>
      <c r="AV15" s="30">
        <f t="shared" si="2"/>
        <v>18</v>
      </c>
      <c r="AW15" s="30">
        <f t="shared" si="7"/>
        <v>4</v>
      </c>
      <c r="AX15" s="30">
        <f t="shared" si="3"/>
        <v>2</v>
      </c>
      <c r="AY15" s="31">
        <f t="shared" si="4"/>
        <v>4</v>
      </c>
      <c r="AZ15" s="31">
        <f t="shared" si="6"/>
        <v>28</v>
      </c>
      <c r="BA15" s="32">
        <f>Table13[[#This Row],[Days]]-Table13[[#This Row],[Absent]]</f>
        <v>24</v>
      </c>
      <c r="BB15" s="33">
        <v>5200</v>
      </c>
      <c r="BC15" s="47">
        <f>Table13[[#This Row],[Salary]]/Table13[[#This Row],[Days]]</f>
        <v>185.71428571428572</v>
      </c>
      <c r="BD15" s="34">
        <f>Table13[[#This Row],[Per Day Salary]]*Table13[[#This Row],[Absent]]</f>
        <v>742.85714285714289</v>
      </c>
      <c r="BE15" s="33">
        <f>Table13[[#This Row],[Salary]]-Table13[[#This Row],[Deduction ]]</f>
        <v>4457.1428571428569</v>
      </c>
    </row>
    <row r="16" spans="6:66" ht="15" thickBot="1" x14ac:dyDescent="0.4">
      <c r="G16" s="7">
        <v>9</v>
      </c>
      <c r="H16" s="27" t="s">
        <v>44</v>
      </c>
      <c r="I16" s="7">
        <v>1009</v>
      </c>
      <c r="J16" s="15">
        <f t="shared" si="5"/>
        <v>4</v>
      </c>
      <c r="K16" s="7" t="s">
        <v>36</v>
      </c>
      <c r="L16" s="7" t="s">
        <v>58</v>
      </c>
      <c r="M16" s="7" t="s">
        <v>36</v>
      </c>
      <c r="N16" s="7" t="s">
        <v>36</v>
      </c>
      <c r="O16" s="7" t="s">
        <v>36</v>
      </c>
      <c r="P16" s="7" t="s">
        <v>57</v>
      </c>
      <c r="Q16" s="7" t="s">
        <v>56</v>
      </c>
      <c r="R16" s="7" t="s">
        <v>56</v>
      </c>
      <c r="S16" s="7" t="s">
        <v>58</v>
      </c>
      <c r="T16" s="7" t="s">
        <v>57</v>
      </c>
      <c r="U16" s="7" t="s">
        <v>36</v>
      </c>
      <c r="V16" s="7" t="s">
        <v>36</v>
      </c>
      <c r="W16" s="7" t="s">
        <v>36</v>
      </c>
      <c r="X16" s="7" t="s">
        <v>56</v>
      </c>
      <c r="Y16" s="7" t="s">
        <v>56</v>
      </c>
      <c r="Z16" s="7" t="s">
        <v>58</v>
      </c>
      <c r="AA16" s="7" t="s">
        <v>36</v>
      </c>
      <c r="AB16" s="7" t="s">
        <v>36</v>
      </c>
      <c r="AC16" s="7" t="s">
        <v>36</v>
      </c>
      <c r="AD16" s="7" t="s">
        <v>36</v>
      </c>
      <c r="AE16" s="7" t="s">
        <v>36</v>
      </c>
      <c r="AF16" s="7" t="s">
        <v>36</v>
      </c>
      <c r="AG16" s="7" t="s">
        <v>58</v>
      </c>
      <c r="AH16" s="7" t="s">
        <v>36</v>
      </c>
      <c r="AI16" s="7" t="s">
        <v>36</v>
      </c>
      <c r="AJ16" s="7" t="s">
        <v>36</v>
      </c>
      <c r="AK16" s="7" t="s">
        <v>36</v>
      </c>
      <c r="AL16" s="7" t="s">
        <v>36</v>
      </c>
      <c r="AM16" s="7"/>
      <c r="AN16" s="7"/>
      <c r="AO16" s="7"/>
      <c r="AR16" s="7">
        <v>9</v>
      </c>
      <c r="AS16" s="7" t="s">
        <v>44</v>
      </c>
      <c r="AT16" s="7" t="s">
        <v>63</v>
      </c>
      <c r="AU16" s="7">
        <v>1009</v>
      </c>
      <c r="AV16" s="30">
        <f t="shared" si="2"/>
        <v>18</v>
      </c>
      <c r="AW16" s="30">
        <f t="shared" si="7"/>
        <v>4</v>
      </c>
      <c r="AX16" s="30">
        <f t="shared" si="3"/>
        <v>2</v>
      </c>
      <c r="AY16" s="31">
        <f t="shared" si="4"/>
        <v>4</v>
      </c>
      <c r="AZ16" s="31">
        <f t="shared" si="6"/>
        <v>28</v>
      </c>
      <c r="BA16" s="32">
        <f>Table13[[#This Row],[Days]]-Table13[[#This Row],[Absent]]</f>
        <v>24</v>
      </c>
      <c r="BB16" s="33">
        <v>5300</v>
      </c>
      <c r="BC16" s="47">
        <f>Table13[[#This Row],[Salary]]/Table13[[#This Row],[Days]]</f>
        <v>189.28571428571428</v>
      </c>
      <c r="BD16" s="34">
        <f>Table13[[#This Row],[Per Day Salary]]*Table13[[#This Row],[Absent]]</f>
        <v>757.14285714285711</v>
      </c>
      <c r="BE16" s="33">
        <f>Table13[[#This Row],[Salary]]-Table13[[#This Row],[Deduction ]]</f>
        <v>4542.8571428571431</v>
      </c>
    </row>
    <row r="17" spans="7:60" ht="14.15" customHeight="1" thickBot="1" x14ac:dyDescent="0.4">
      <c r="G17" s="7">
        <v>10</v>
      </c>
      <c r="H17" s="27" t="s">
        <v>45</v>
      </c>
      <c r="I17" s="7">
        <v>1010</v>
      </c>
      <c r="J17" s="15">
        <f t="shared" si="5"/>
        <v>4</v>
      </c>
      <c r="K17" s="7" t="s">
        <v>36</v>
      </c>
      <c r="L17" s="7" t="s">
        <v>58</v>
      </c>
      <c r="M17" s="7" t="s">
        <v>36</v>
      </c>
      <c r="N17" s="7" t="s">
        <v>36</v>
      </c>
      <c r="O17" s="7" t="s">
        <v>36</v>
      </c>
      <c r="P17" s="7" t="s">
        <v>57</v>
      </c>
      <c r="Q17" s="7" t="s">
        <v>56</v>
      </c>
      <c r="R17" s="7" t="s">
        <v>56</v>
      </c>
      <c r="S17" s="7" t="s">
        <v>58</v>
      </c>
      <c r="T17" s="7" t="s">
        <v>57</v>
      </c>
      <c r="U17" s="7" t="s">
        <v>36</v>
      </c>
      <c r="V17" s="7" t="s">
        <v>36</v>
      </c>
      <c r="W17" s="7" t="s">
        <v>36</v>
      </c>
      <c r="X17" s="7" t="s">
        <v>56</v>
      </c>
      <c r="Y17" s="7" t="s">
        <v>56</v>
      </c>
      <c r="Z17" s="7" t="s">
        <v>58</v>
      </c>
      <c r="AA17" s="7" t="s">
        <v>36</v>
      </c>
      <c r="AB17" s="7" t="s">
        <v>36</v>
      </c>
      <c r="AC17" s="7" t="s">
        <v>36</v>
      </c>
      <c r="AD17" s="7" t="s">
        <v>36</v>
      </c>
      <c r="AE17" s="7" t="s">
        <v>36</v>
      </c>
      <c r="AF17" s="7" t="s">
        <v>36</v>
      </c>
      <c r="AG17" s="7" t="s">
        <v>58</v>
      </c>
      <c r="AH17" s="7" t="s">
        <v>36</v>
      </c>
      <c r="AI17" s="7" t="s">
        <v>36</v>
      </c>
      <c r="AJ17" s="7" t="s">
        <v>36</v>
      </c>
      <c r="AK17" s="7" t="s">
        <v>36</v>
      </c>
      <c r="AL17" s="7" t="s">
        <v>36</v>
      </c>
      <c r="AM17" s="7"/>
      <c r="AN17" s="7"/>
      <c r="AO17" s="7"/>
      <c r="AR17" s="7">
        <v>10</v>
      </c>
      <c r="AS17" s="7" t="s">
        <v>45</v>
      </c>
      <c r="AT17" s="7" t="s">
        <v>63</v>
      </c>
      <c r="AU17" s="7">
        <v>1010</v>
      </c>
      <c r="AV17" s="30">
        <f t="shared" si="2"/>
        <v>18</v>
      </c>
      <c r="AW17" s="30">
        <f t="shared" si="7"/>
        <v>4</v>
      </c>
      <c r="AX17" s="30">
        <f t="shared" si="3"/>
        <v>2</v>
      </c>
      <c r="AY17" s="31">
        <f t="shared" si="4"/>
        <v>4</v>
      </c>
      <c r="AZ17" s="31">
        <f t="shared" si="6"/>
        <v>28</v>
      </c>
      <c r="BA17" s="32">
        <f>Table13[[#This Row],[Days]]-Table13[[#This Row],[Absent]]</f>
        <v>24</v>
      </c>
      <c r="BB17" s="33">
        <v>5400</v>
      </c>
      <c r="BC17" s="47">
        <f>Table13[[#This Row],[Salary]]/Table13[[#This Row],[Days]]</f>
        <v>192.85714285714286</v>
      </c>
      <c r="BD17" s="34">
        <f>Table13[[#This Row],[Per Day Salary]]*Table13[[#This Row],[Absent]]</f>
        <v>771.42857142857144</v>
      </c>
      <c r="BE17" s="33">
        <f>Table13[[#This Row],[Salary]]-Table13[[#This Row],[Deduction ]]</f>
        <v>4628.5714285714284</v>
      </c>
      <c r="BH17" s="19"/>
    </row>
    <row r="18" spans="7:60" x14ac:dyDescent="0.35">
      <c r="G18" s="7">
        <v>11</v>
      </c>
      <c r="H18" s="27" t="s">
        <v>46</v>
      </c>
      <c r="I18" s="7">
        <v>1011</v>
      </c>
      <c r="J18" s="15">
        <f t="shared" si="5"/>
        <v>4</v>
      </c>
      <c r="K18" s="7" t="s">
        <v>36</v>
      </c>
      <c r="L18" s="7" t="s">
        <v>58</v>
      </c>
      <c r="M18" s="7" t="s">
        <v>36</v>
      </c>
      <c r="N18" s="7" t="s">
        <v>36</v>
      </c>
      <c r="O18" s="7" t="s">
        <v>36</v>
      </c>
      <c r="P18" s="7" t="s">
        <v>57</v>
      </c>
      <c r="Q18" s="7" t="s">
        <v>56</v>
      </c>
      <c r="R18" s="7" t="s">
        <v>56</v>
      </c>
      <c r="S18" s="7" t="s">
        <v>58</v>
      </c>
      <c r="T18" s="7" t="s">
        <v>57</v>
      </c>
      <c r="U18" s="7" t="s">
        <v>36</v>
      </c>
      <c r="V18" s="7" t="s">
        <v>36</v>
      </c>
      <c r="W18" s="7" t="s">
        <v>36</v>
      </c>
      <c r="X18" s="7" t="s">
        <v>56</v>
      </c>
      <c r="Y18" s="7" t="s">
        <v>56</v>
      </c>
      <c r="Z18" s="7" t="s">
        <v>58</v>
      </c>
      <c r="AA18" s="7" t="s">
        <v>36</v>
      </c>
      <c r="AB18" s="7" t="s">
        <v>36</v>
      </c>
      <c r="AC18" s="7" t="s">
        <v>36</v>
      </c>
      <c r="AD18" s="7" t="s">
        <v>36</v>
      </c>
      <c r="AE18" s="7" t="s">
        <v>36</v>
      </c>
      <c r="AF18" s="7" t="s">
        <v>36</v>
      </c>
      <c r="AG18" s="7" t="s">
        <v>58</v>
      </c>
      <c r="AH18" s="7" t="s">
        <v>36</v>
      </c>
      <c r="AI18" s="7" t="s">
        <v>36</v>
      </c>
      <c r="AJ18" s="7" t="s">
        <v>36</v>
      </c>
      <c r="AK18" s="7" t="s">
        <v>36</v>
      </c>
      <c r="AL18" s="7" t="s">
        <v>36</v>
      </c>
      <c r="AM18" s="7"/>
      <c r="AN18" s="7"/>
      <c r="AO18" s="7"/>
      <c r="AR18" s="7">
        <v>11</v>
      </c>
      <c r="AS18" s="7" t="s">
        <v>46</v>
      </c>
      <c r="AT18" s="7" t="s">
        <v>63</v>
      </c>
      <c r="AU18" s="7">
        <v>1011</v>
      </c>
      <c r="AV18" s="30">
        <f t="shared" si="2"/>
        <v>18</v>
      </c>
      <c r="AW18" s="30">
        <f t="shared" si="7"/>
        <v>4</v>
      </c>
      <c r="AX18" s="30">
        <f t="shared" si="3"/>
        <v>2</v>
      </c>
      <c r="AY18" s="31">
        <f t="shared" si="4"/>
        <v>4</v>
      </c>
      <c r="AZ18" s="31">
        <f t="shared" si="6"/>
        <v>28</v>
      </c>
      <c r="BA18" s="32">
        <f>Table13[[#This Row],[Days]]-Table13[[#This Row],[Absent]]</f>
        <v>24</v>
      </c>
      <c r="BB18" s="33">
        <v>5500</v>
      </c>
      <c r="BC18" s="47">
        <f>Table13[[#This Row],[Salary]]/Table13[[#This Row],[Days]]</f>
        <v>196.42857142857142</v>
      </c>
      <c r="BD18" s="34">
        <f>Table13[[#This Row],[Per Day Salary]]*Table13[[#This Row],[Absent]]</f>
        <v>785.71428571428567</v>
      </c>
      <c r="BE18" s="33">
        <f>Table13[[#This Row],[Salary]]-Table13[[#This Row],[Deduction ]]</f>
        <v>4714.2857142857147</v>
      </c>
    </row>
    <row r="19" spans="7:60" x14ac:dyDescent="0.35">
      <c r="G19" s="7">
        <v>12</v>
      </c>
      <c r="H19" s="27" t="s">
        <v>47</v>
      </c>
      <c r="I19" s="7">
        <v>1012</v>
      </c>
      <c r="J19" s="15">
        <f t="shared" si="5"/>
        <v>4</v>
      </c>
      <c r="K19" s="7" t="s">
        <v>36</v>
      </c>
      <c r="L19" s="7" t="s">
        <v>58</v>
      </c>
      <c r="M19" s="7" t="s">
        <v>36</v>
      </c>
      <c r="N19" s="7" t="s">
        <v>36</v>
      </c>
      <c r="O19" s="7" t="s">
        <v>36</v>
      </c>
      <c r="P19" s="7" t="s">
        <v>57</v>
      </c>
      <c r="Q19" s="7" t="s">
        <v>56</v>
      </c>
      <c r="R19" s="7" t="s">
        <v>56</v>
      </c>
      <c r="S19" s="7" t="s">
        <v>58</v>
      </c>
      <c r="T19" s="7" t="s">
        <v>57</v>
      </c>
      <c r="U19" s="7" t="s">
        <v>36</v>
      </c>
      <c r="V19" s="7" t="s">
        <v>36</v>
      </c>
      <c r="W19" s="7" t="s">
        <v>36</v>
      </c>
      <c r="X19" s="7" t="s">
        <v>56</v>
      </c>
      <c r="Y19" s="7" t="s">
        <v>56</v>
      </c>
      <c r="Z19" s="7" t="s">
        <v>58</v>
      </c>
      <c r="AA19" s="7" t="s">
        <v>36</v>
      </c>
      <c r="AB19" s="7" t="s">
        <v>36</v>
      </c>
      <c r="AC19" s="7" t="s">
        <v>36</v>
      </c>
      <c r="AD19" s="7" t="s">
        <v>36</v>
      </c>
      <c r="AE19" s="7" t="s">
        <v>36</v>
      </c>
      <c r="AF19" s="7" t="s">
        <v>36</v>
      </c>
      <c r="AG19" s="7" t="s">
        <v>58</v>
      </c>
      <c r="AH19" s="7" t="s">
        <v>36</v>
      </c>
      <c r="AI19" s="7" t="s">
        <v>36</v>
      </c>
      <c r="AJ19" s="7" t="s">
        <v>36</v>
      </c>
      <c r="AK19" s="7" t="s">
        <v>36</v>
      </c>
      <c r="AL19" s="7" t="s">
        <v>36</v>
      </c>
      <c r="AM19" s="7"/>
      <c r="AN19" s="7"/>
      <c r="AO19" s="7"/>
      <c r="AR19" s="7">
        <v>12</v>
      </c>
      <c r="AS19" s="7" t="s">
        <v>47</v>
      </c>
      <c r="AT19" s="7" t="s">
        <v>63</v>
      </c>
      <c r="AU19" s="7">
        <v>1012</v>
      </c>
      <c r="AV19" s="30">
        <f t="shared" si="2"/>
        <v>18</v>
      </c>
      <c r="AW19" s="30">
        <f t="shared" si="7"/>
        <v>4</v>
      </c>
      <c r="AX19" s="30">
        <f t="shared" si="3"/>
        <v>2</v>
      </c>
      <c r="AY19" s="31">
        <f t="shared" si="4"/>
        <v>4</v>
      </c>
      <c r="AZ19" s="31">
        <f t="shared" si="6"/>
        <v>28</v>
      </c>
      <c r="BA19" s="32">
        <f>Table13[[#This Row],[Days]]-Table13[[#This Row],[Absent]]</f>
        <v>24</v>
      </c>
      <c r="BB19" s="33">
        <v>5600</v>
      </c>
      <c r="BC19" s="47">
        <f>Table13[[#This Row],[Salary]]/Table13[[#This Row],[Days]]</f>
        <v>200</v>
      </c>
      <c r="BD19" s="34">
        <f>Table13[[#This Row],[Per Day Salary]]*Table13[[#This Row],[Absent]]</f>
        <v>800</v>
      </c>
      <c r="BE19" s="33">
        <f>Table13[[#This Row],[Salary]]-Table13[[#This Row],[Deduction ]]</f>
        <v>4800</v>
      </c>
    </row>
    <row r="20" spans="7:60" x14ac:dyDescent="0.35">
      <c r="G20" s="7">
        <v>13</v>
      </c>
      <c r="H20" s="27" t="s">
        <v>48</v>
      </c>
      <c r="I20" s="7">
        <v>1013</v>
      </c>
      <c r="J20" s="15">
        <f t="shared" si="5"/>
        <v>4</v>
      </c>
      <c r="K20" s="7" t="s">
        <v>36</v>
      </c>
      <c r="L20" s="7" t="s">
        <v>58</v>
      </c>
      <c r="M20" s="7" t="s">
        <v>36</v>
      </c>
      <c r="N20" s="7" t="s">
        <v>36</v>
      </c>
      <c r="O20" s="7" t="s">
        <v>36</v>
      </c>
      <c r="P20" s="7" t="s">
        <v>57</v>
      </c>
      <c r="Q20" s="7" t="s">
        <v>56</v>
      </c>
      <c r="R20" s="7" t="s">
        <v>56</v>
      </c>
      <c r="S20" s="7" t="s">
        <v>58</v>
      </c>
      <c r="T20" s="7" t="s">
        <v>57</v>
      </c>
      <c r="U20" s="7" t="s">
        <v>36</v>
      </c>
      <c r="V20" s="7" t="s">
        <v>36</v>
      </c>
      <c r="W20" s="7" t="s">
        <v>36</v>
      </c>
      <c r="X20" s="7" t="s">
        <v>56</v>
      </c>
      <c r="Y20" s="7" t="s">
        <v>56</v>
      </c>
      <c r="Z20" s="7" t="s">
        <v>58</v>
      </c>
      <c r="AA20" s="7" t="s">
        <v>36</v>
      </c>
      <c r="AB20" s="7" t="s">
        <v>36</v>
      </c>
      <c r="AC20" s="7" t="s">
        <v>36</v>
      </c>
      <c r="AD20" s="7" t="s">
        <v>36</v>
      </c>
      <c r="AE20" s="7" t="s">
        <v>36</v>
      </c>
      <c r="AF20" s="7" t="s">
        <v>36</v>
      </c>
      <c r="AG20" s="7" t="s">
        <v>58</v>
      </c>
      <c r="AH20" s="7" t="s">
        <v>36</v>
      </c>
      <c r="AI20" s="7" t="s">
        <v>36</v>
      </c>
      <c r="AJ20" s="7" t="s">
        <v>36</v>
      </c>
      <c r="AK20" s="7" t="s">
        <v>36</v>
      </c>
      <c r="AL20" s="7" t="s">
        <v>36</v>
      </c>
      <c r="AM20" s="7"/>
      <c r="AN20" s="7"/>
      <c r="AO20" s="7"/>
      <c r="AR20" s="7">
        <v>13</v>
      </c>
      <c r="AS20" s="7" t="s">
        <v>48</v>
      </c>
      <c r="AT20" s="7" t="s">
        <v>63</v>
      </c>
      <c r="AU20" s="7">
        <v>1013</v>
      </c>
      <c r="AV20" s="30">
        <f t="shared" si="2"/>
        <v>18</v>
      </c>
      <c r="AW20" s="30">
        <f t="shared" si="7"/>
        <v>4</v>
      </c>
      <c r="AX20" s="30">
        <f t="shared" si="3"/>
        <v>2</v>
      </c>
      <c r="AY20" s="31">
        <f t="shared" si="4"/>
        <v>4</v>
      </c>
      <c r="AZ20" s="31">
        <f t="shared" si="6"/>
        <v>28</v>
      </c>
      <c r="BA20" s="32">
        <f>Table13[[#This Row],[Days]]-Table13[[#This Row],[Absent]]</f>
        <v>24</v>
      </c>
      <c r="BB20" s="33">
        <v>5700</v>
      </c>
      <c r="BC20" s="47">
        <f>Table13[[#This Row],[Salary]]/Table13[[#This Row],[Days]]</f>
        <v>203.57142857142858</v>
      </c>
      <c r="BD20" s="34">
        <f>Table13[[#This Row],[Per Day Salary]]*Table13[[#This Row],[Absent]]</f>
        <v>814.28571428571433</v>
      </c>
      <c r="BE20" s="33">
        <f>Table13[[#This Row],[Salary]]-Table13[[#This Row],[Deduction ]]</f>
        <v>4885.7142857142853</v>
      </c>
    </row>
    <row r="21" spans="7:60" x14ac:dyDescent="0.35">
      <c r="G21" s="7">
        <v>14</v>
      </c>
      <c r="H21" s="27" t="s">
        <v>49</v>
      </c>
      <c r="I21" s="7">
        <v>1014</v>
      </c>
      <c r="J21" s="15">
        <f t="shared" si="5"/>
        <v>4</v>
      </c>
      <c r="K21" s="7" t="s">
        <v>36</v>
      </c>
      <c r="L21" s="7" t="s">
        <v>58</v>
      </c>
      <c r="M21" s="7" t="s">
        <v>36</v>
      </c>
      <c r="N21" s="7" t="s">
        <v>36</v>
      </c>
      <c r="O21" s="7" t="s">
        <v>36</v>
      </c>
      <c r="P21" s="7" t="s">
        <v>57</v>
      </c>
      <c r="Q21" s="7" t="s">
        <v>56</v>
      </c>
      <c r="R21" s="7" t="s">
        <v>56</v>
      </c>
      <c r="S21" s="7" t="s">
        <v>58</v>
      </c>
      <c r="T21" s="7" t="s">
        <v>57</v>
      </c>
      <c r="U21" s="7" t="s">
        <v>36</v>
      </c>
      <c r="V21" s="7" t="s">
        <v>36</v>
      </c>
      <c r="W21" s="7" t="s">
        <v>36</v>
      </c>
      <c r="X21" s="7" t="s">
        <v>56</v>
      </c>
      <c r="Y21" s="7" t="s">
        <v>56</v>
      </c>
      <c r="Z21" s="7" t="s">
        <v>58</v>
      </c>
      <c r="AA21" s="7" t="s">
        <v>36</v>
      </c>
      <c r="AB21" s="7" t="s">
        <v>36</v>
      </c>
      <c r="AC21" s="7" t="s">
        <v>36</v>
      </c>
      <c r="AD21" s="7" t="s">
        <v>36</v>
      </c>
      <c r="AE21" s="7" t="s">
        <v>36</v>
      </c>
      <c r="AF21" s="7" t="s">
        <v>36</v>
      </c>
      <c r="AG21" s="7" t="s">
        <v>58</v>
      </c>
      <c r="AH21" s="7" t="s">
        <v>36</v>
      </c>
      <c r="AI21" s="7" t="s">
        <v>36</v>
      </c>
      <c r="AJ21" s="7" t="s">
        <v>36</v>
      </c>
      <c r="AK21" s="7" t="s">
        <v>36</v>
      </c>
      <c r="AL21" s="7" t="s">
        <v>36</v>
      </c>
      <c r="AM21" s="7"/>
      <c r="AN21" s="7"/>
      <c r="AO21" s="7"/>
      <c r="AR21" s="7">
        <v>14</v>
      </c>
      <c r="AS21" s="7" t="s">
        <v>49</v>
      </c>
      <c r="AT21" s="7" t="s">
        <v>63</v>
      </c>
      <c r="AU21" s="7">
        <v>1014</v>
      </c>
      <c r="AV21" s="30">
        <f t="shared" si="2"/>
        <v>18</v>
      </c>
      <c r="AW21" s="30">
        <f t="shared" si="7"/>
        <v>4</v>
      </c>
      <c r="AX21" s="30">
        <f t="shared" si="3"/>
        <v>2</v>
      </c>
      <c r="AY21" s="31">
        <f t="shared" si="4"/>
        <v>4</v>
      </c>
      <c r="AZ21" s="31">
        <f t="shared" si="6"/>
        <v>28</v>
      </c>
      <c r="BA21" s="32">
        <f>Table13[[#This Row],[Days]]-Table13[[#This Row],[Absent]]</f>
        <v>24</v>
      </c>
      <c r="BB21" s="33">
        <v>5800</v>
      </c>
      <c r="BC21" s="47">
        <f>Table13[[#This Row],[Salary]]/Table13[[#This Row],[Days]]</f>
        <v>207.14285714285714</v>
      </c>
      <c r="BD21" s="34">
        <f>Table13[[#This Row],[Per Day Salary]]*Table13[[#This Row],[Absent]]</f>
        <v>828.57142857142856</v>
      </c>
      <c r="BE21" s="33">
        <f>Table13[[#This Row],[Salary]]-Table13[[#This Row],[Deduction ]]</f>
        <v>4971.4285714285716</v>
      </c>
    </row>
    <row r="22" spans="7:60" x14ac:dyDescent="0.35">
      <c r="G22" s="7">
        <v>15</v>
      </c>
      <c r="H22" s="27" t="s">
        <v>50</v>
      </c>
      <c r="I22" s="7">
        <v>1015</v>
      </c>
      <c r="J22" s="15">
        <f t="shared" si="5"/>
        <v>4</v>
      </c>
      <c r="K22" s="7" t="s">
        <v>36</v>
      </c>
      <c r="L22" s="7" t="s">
        <v>58</v>
      </c>
      <c r="M22" s="7" t="s">
        <v>36</v>
      </c>
      <c r="N22" s="7" t="s">
        <v>36</v>
      </c>
      <c r="O22" s="7" t="s">
        <v>36</v>
      </c>
      <c r="P22" s="7" t="s">
        <v>57</v>
      </c>
      <c r="Q22" s="7" t="s">
        <v>56</v>
      </c>
      <c r="R22" s="7" t="s">
        <v>56</v>
      </c>
      <c r="S22" s="7" t="s">
        <v>58</v>
      </c>
      <c r="T22" s="7" t="s">
        <v>57</v>
      </c>
      <c r="U22" s="7" t="s">
        <v>36</v>
      </c>
      <c r="V22" s="7" t="s">
        <v>36</v>
      </c>
      <c r="W22" s="7" t="s">
        <v>36</v>
      </c>
      <c r="X22" s="7" t="s">
        <v>56</v>
      </c>
      <c r="Y22" s="7" t="s">
        <v>56</v>
      </c>
      <c r="Z22" s="7" t="s">
        <v>58</v>
      </c>
      <c r="AA22" s="7" t="s">
        <v>36</v>
      </c>
      <c r="AB22" s="7" t="s">
        <v>36</v>
      </c>
      <c r="AC22" s="7" t="s">
        <v>36</v>
      </c>
      <c r="AD22" s="7" t="s">
        <v>36</v>
      </c>
      <c r="AE22" s="7" t="s">
        <v>36</v>
      </c>
      <c r="AF22" s="7" t="s">
        <v>36</v>
      </c>
      <c r="AG22" s="7" t="s">
        <v>58</v>
      </c>
      <c r="AH22" s="7" t="s">
        <v>36</v>
      </c>
      <c r="AI22" s="7" t="s">
        <v>36</v>
      </c>
      <c r="AJ22" s="7" t="s">
        <v>36</v>
      </c>
      <c r="AK22" s="7" t="s">
        <v>36</v>
      </c>
      <c r="AL22" s="7" t="s">
        <v>36</v>
      </c>
      <c r="AM22" s="7"/>
      <c r="AN22" s="7"/>
      <c r="AO22" s="7"/>
      <c r="AR22" s="7">
        <v>15</v>
      </c>
      <c r="AS22" s="7" t="s">
        <v>50</v>
      </c>
      <c r="AT22" s="7" t="s">
        <v>63</v>
      </c>
      <c r="AU22" s="7">
        <v>1015</v>
      </c>
      <c r="AV22" s="30">
        <f t="shared" si="2"/>
        <v>18</v>
      </c>
      <c r="AW22" s="30">
        <f t="shared" si="7"/>
        <v>4</v>
      </c>
      <c r="AX22" s="30">
        <f t="shared" si="3"/>
        <v>2</v>
      </c>
      <c r="AY22" s="31">
        <f t="shared" si="4"/>
        <v>4</v>
      </c>
      <c r="AZ22" s="31">
        <f t="shared" si="6"/>
        <v>28</v>
      </c>
      <c r="BA22" s="32">
        <f>Table13[[#This Row],[Days]]-Table13[[#This Row],[Absent]]</f>
        <v>24</v>
      </c>
      <c r="BB22" s="33">
        <v>5900</v>
      </c>
      <c r="BC22" s="47">
        <f>Table13[[#This Row],[Salary]]/Table13[[#This Row],[Days]]</f>
        <v>210.71428571428572</v>
      </c>
      <c r="BD22" s="34">
        <f>Table13[[#This Row],[Per Day Salary]]*Table13[[#This Row],[Absent]]</f>
        <v>842.85714285714289</v>
      </c>
      <c r="BE22" s="33">
        <f>Table13[[#This Row],[Salary]]-Table13[[#This Row],[Deduction ]]</f>
        <v>5057.1428571428569</v>
      </c>
    </row>
    <row r="23" spans="7:60" x14ac:dyDescent="0.35">
      <c r="G23" s="7">
        <v>16</v>
      </c>
      <c r="H23" s="27" t="s">
        <v>51</v>
      </c>
      <c r="I23" s="7">
        <v>1016</v>
      </c>
      <c r="J23" s="15">
        <f t="shared" si="5"/>
        <v>4</v>
      </c>
      <c r="K23" s="7" t="s">
        <v>36</v>
      </c>
      <c r="L23" s="7" t="s">
        <v>58</v>
      </c>
      <c r="M23" s="7" t="s">
        <v>36</v>
      </c>
      <c r="N23" s="7" t="s">
        <v>36</v>
      </c>
      <c r="O23" s="7" t="s">
        <v>36</v>
      </c>
      <c r="P23" s="7" t="s">
        <v>57</v>
      </c>
      <c r="Q23" s="7" t="s">
        <v>56</v>
      </c>
      <c r="R23" s="7" t="s">
        <v>56</v>
      </c>
      <c r="S23" s="7" t="s">
        <v>58</v>
      </c>
      <c r="T23" s="7" t="s">
        <v>57</v>
      </c>
      <c r="U23" s="7" t="s">
        <v>36</v>
      </c>
      <c r="V23" s="7" t="s">
        <v>36</v>
      </c>
      <c r="W23" s="7" t="s">
        <v>36</v>
      </c>
      <c r="X23" s="7" t="s">
        <v>56</v>
      </c>
      <c r="Y23" s="7" t="s">
        <v>56</v>
      </c>
      <c r="Z23" s="7" t="s">
        <v>58</v>
      </c>
      <c r="AA23" s="7" t="s">
        <v>36</v>
      </c>
      <c r="AB23" s="7" t="s">
        <v>36</v>
      </c>
      <c r="AC23" s="7" t="s">
        <v>36</v>
      </c>
      <c r="AD23" s="7" t="s">
        <v>36</v>
      </c>
      <c r="AE23" s="7" t="s">
        <v>36</v>
      </c>
      <c r="AF23" s="7" t="s">
        <v>36</v>
      </c>
      <c r="AG23" s="7" t="s">
        <v>58</v>
      </c>
      <c r="AH23" s="7" t="s">
        <v>36</v>
      </c>
      <c r="AI23" s="7" t="s">
        <v>36</v>
      </c>
      <c r="AJ23" s="7" t="s">
        <v>36</v>
      </c>
      <c r="AK23" s="7" t="s">
        <v>36</v>
      </c>
      <c r="AL23" s="7" t="s">
        <v>36</v>
      </c>
      <c r="AM23" s="7"/>
      <c r="AN23" s="7"/>
      <c r="AO23" s="7"/>
      <c r="AR23" s="7">
        <v>16</v>
      </c>
      <c r="AS23" s="7" t="s">
        <v>51</v>
      </c>
      <c r="AT23" s="7" t="s">
        <v>63</v>
      </c>
      <c r="AU23" s="7">
        <v>1016</v>
      </c>
      <c r="AV23" s="30">
        <f t="shared" si="2"/>
        <v>18</v>
      </c>
      <c r="AW23" s="30">
        <f t="shared" si="7"/>
        <v>4</v>
      </c>
      <c r="AX23" s="30">
        <f t="shared" si="3"/>
        <v>2</v>
      </c>
      <c r="AY23" s="31">
        <f t="shared" si="4"/>
        <v>4</v>
      </c>
      <c r="AZ23" s="31">
        <f t="shared" si="6"/>
        <v>28</v>
      </c>
      <c r="BA23" s="32">
        <f>Table13[[#This Row],[Days]]-Table13[[#This Row],[Absent]]</f>
        <v>24</v>
      </c>
      <c r="BB23" s="33">
        <v>6000</v>
      </c>
      <c r="BC23" s="47">
        <f>Table13[[#This Row],[Salary]]/Table13[[#This Row],[Days]]</f>
        <v>214.28571428571428</v>
      </c>
      <c r="BD23" s="34">
        <f>Table13[[#This Row],[Per Day Salary]]*Table13[[#This Row],[Absent]]</f>
        <v>857.14285714285711</v>
      </c>
      <c r="BE23" s="33">
        <f>Table13[[#This Row],[Salary]]-Table13[[#This Row],[Deduction ]]</f>
        <v>5142.8571428571431</v>
      </c>
    </row>
    <row r="24" spans="7:60" x14ac:dyDescent="0.35">
      <c r="G24" s="7">
        <v>17</v>
      </c>
      <c r="H24" s="27" t="s">
        <v>52</v>
      </c>
      <c r="I24" s="7">
        <v>1017</v>
      </c>
      <c r="J24" s="15">
        <f t="shared" si="5"/>
        <v>4</v>
      </c>
      <c r="K24" s="7" t="s">
        <v>36</v>
      </c>
      <c r="L24" s="7" t="s">
        <v>58</v>
      </c>
      <c r="M24" s="7" t="s">
        <v>36</v>
      </c>
      <c r="N24" s="7" t="s">
        <v>36</v>
      </c>
      <c r="O24" s="7" t="s">
        <v>36</v>
      </c>
      <c r="P24" s="7" t="s">
        <v>57</v>
      </c>
      <c r="Q24" s="7" t="s">
        <v>56</v>
      </c>
      <c r="R24" s="7" t="s">
        <v>56</v>
      </c>
      <c r="S24" s="7" t="s">
        <v>58</v>
      </c>
      <c r="T24" s="7" t="s">
        <v>57</v>
      </c>
      <c r="U24" s="7" t="s">
        <v>36</v>
      </c>
      <c r="V24" s="7" t="s">
        <v>36</v>
      </c>
      <c r="W24" s="7" t="s">
        <v>36</v>
      </c>
      <c r="X24" s="7" t="s">
        <v>56</v>
      </c>
      <c r="Y24" s="7" t="s">
        <v>56</v>
      </c>
      <c r="Z24" s="7" t="s">
        <v>58</v>
      </c>
      <c r="AA24" s="7" t="s">
        <v>36</v>
      </c>
      <c r="AB24" s="7" t="s">
        <v>36</v>
      </c>
      <c r="AC24" s="7" t="s">
        <v>36</v>
      </c>
      <c r="AD24" s="7" t="s">
        <v>36</v>
      </c>
      <c r="AE24" s="7" t="s">
        <v>36</v>
      </c>
      <c r="AF24" s="7" t="s">
        <v>36</v>
      </c>
      <c r="AG24" s="7" t="s">
        <v>58</v>
      </c>
      <c r="AH24" s="7" t="s">
        <v>36</v>
      </c>
      <c r="AI24" s="7" t="s">
        <v>36</v>
      </c>
      <c r="AJ24" s="7" t="s">
        <v>36</v>
      </c>
      <c r="AK24" s="7" t="s">
        <v>36</v>
      </c>
      <c r="AL24" s="7" t="s">
        <v>36</v>
      </c>
      <c r="AM24" s="7"/>
      <c r="AN24" s="7"/>
      <c r="AO24" s="7"/>
      <c r="AR24" s="7">
        <v>17</v>
      </c>
      <c r="AS24" s="7" t="s">
        <v>52</v>
      </c>
      <c r="AT24" s="7" t="s">
        <v>63</v>
      </c>
      <c r="AU24" s="7">
        <v>1017</v>
      </c>
      <c r="AV24" s="30">
        <f t="shared" si="2"/>
        <v>18</v>
      </c>
      <c r="AW24" s="30">
        <f t="shared" si="7"/>
        <v>4</v>
      </c>
      <c r="AX24" s="30">
        <f t="shared" si="3"/>
        <v>2</v>
      </c>
      <c r="AY24" s="31">
        <f t="shared" si="4"/>
        <v>4</v>
      </c>
      <c r="AZ24" s="31">
        <f t="shared" si="6"/>
        <v>28</v>
      </c>
      <c r="BA24" s="1">
        <f>Table13[[#This Row],[Days]]-Table13[[#This Row],[Absent]]</f>
        <v>24</v>
      </c>
      <c r="BB24" s="33">
        <v>6100</v>
      </c>
      <c r="BC24" s="47">
        <f>Table13[[#This Row],[Salary]]/Table13[[#This Row],[Days]]</f>
        <v>217.85714285714286</v>
      </c>
      <c r="BD24" s="34">
        <f>Table13[[#This Row],[Per Day Salary]]*Table13[[#This Row],[Absent]]</f>
        <v>871.42857142857144</v>
      </c>
      <c r="BE24" s="33">
        <f>Table13[[#This Row],[Salary]]-Table13[[#This Row],[Deduction ]]</f>
        <v>5228.5714285714284</v>
      </c>
    </row>
    <row r="25" spans="7:60" x14ac:dyDescent="0.35">
      <c r="G25" s="7">
        <v>18</v>
      </c>
      <c r="H25" s="27" t="s">
        <v>53</v>
      </c>
      <c r="I25" s="7">
        <v>1018</v>
      </c>
      <c r="J25" s="15">
        <f t="shared" si="5"/>
        <v>4</v>
      </c>
      <c r="K25" s="7" t="s">
        <v>36</v>
      </c>
      <c r="L25" s="7" t="s">
        <v>58</v>
      </c>
      <c r="M25" s="7" t="s">
        <v>36</v>
      </c>
      <c r="N25" s="7" t="s">
        <v>36</v>
      </c>
      <c r="O25" s="7" t="s">
        <v>36</v>
      </c>
      <c r="P25" s="7" t="s">
        <v>57</v>
      </c>
      <c r="Q25" s="7" t="s">
        <v>56</v>
      </c>
      <c r="R25" s="7" t="s">
        <v>56</v>
      </c>
      <c r="S25" s="7" t="s">
        <v>58</v>
      </c>
      <c r="T25" s="7" t="s">
        <v>57</v>
      </c>
      <c r="U25" s="7" t="s">
        <v>36</v>
      </c>
      <c r="V25" s="7" t="s">
        <v>36</v>
      </c>
      <c r="W25" s="7" t="s">
        <v>36</v>
      </c>
      <c r="X25" s="7" t="s">
        <v>56</v>
      </c>
      <c r="Y25" s="7" t="s">
        <v>56</v>
      </c>
      <c r="Z25" s="7" t="s">
        <v>58</v>
      </c>
      <c r="AA25" s="7" t="s">
        <v>36</v>
      </c>
      <c r="AB25" s="7" t="s">
        <v>36</v>
      </c>
      <c r="AC25" s="7" t="s">
        <v>36</v>
      </c>
      <c r="AD25" s="7" t="s">
        <v>36</v>
      </c>
      <c r="AE25" s="7" t="s">
        <v>36</v>
      </c>
      <c r="AF25" s="7" t="s">
        <v>36</v>
      </c>
      <c r="AG25" s="7" t="s">
        <v>58</v>
      </c>
      <c r="AH25" s="7" t="s">
        <v>36</v>
      </c>
      <c r="AI25" s="7" t="s">
        <v>36</v>
      </c>
      <c r="AJ25" s="7" t="s">
        <v>36</v>
      </c>
      <c r="AK25" s="7" t="s">
        <v>36</v>
      </c>
      <c r="AL25" s="7" t="s">
        <v>36</v>
      </c>
      <c r="AM25" s="7"/>
      <c r="AN25" s="7"/>
      <c r="AO25" s="7"/>
      <c r="AR25" s="7">
        <v>18</v>
      </c>
      <c r="AS25" s="7" t="s">
        <v>53</v>
      </c>
      <c r="AT25" s="7" t="s">
        <v>63</v>
      </c>
      <c r="AU25" s="7">
        <v>1018</v>
      </c>
      <c r="AV25" s="30">
        <f t="shared" si="2"/>
        <v>18</v>
      </c>
      <c r="AW25" s="30">
        <f t="shared" si="7"/>
        <v>4</v>
      </c>
      <c r="AX25" s="30">
        <f t="shared" si="3"/>
        <v>2</v>
      </c>
      <c r="AY25" s="31">
        <f t="shared" si="4"/>
        <v>4</v>
      </c>
      <c r="AZ25" s="31">
        <f t="shared" si="6"/>
        <v>28</v>
      </c>
      <c r="BA25" s="32">
        <f>Table13[[#This Row],[Days]]-Table13[[#This Row],[Absent]]</f>
        <v>24</v>
      </c>
      <c r="BB25" s="33">
        <v>6200</v>
      </c>
      <c r="BC25" s="47">
        <f>Table13[[#This Row],[Salary]]/Table13[[#This Row],[Days]]</f>
        <v>221.42857142857142</v>
      </c>
      <c r="BD25" s="34">
        <f>Table13[[#This Row],[Per Day Salary]]*Table13[[#This Row],[Absent]]</f>
        <v>885.71428571428567</v>
      </c>
      <c r="BE25" s="33">
        <f>Table13[[#This Row],[Salary]]-Table13[[#This Row],[Deduction ]]</f>
        <v>5314.2857142857147</v>
      </c>
    </row>
    <row r="26" spans="7:60" x14ac:dyDescent="0.35">
      <c r="G26" s="7">
        <v>19</v>
      </c>
      <c r="H26" s="27" t="s">
        <v>54</v>
      </c>
      <c r="I26" s="7">
        <v>1019</v>
      </c>
      <c r="J26" s="15">
        <f t="shared" si="5"/>
        <v>4</v>
      </c>
      <c r="K26" s="7" t="s">
        <v>36</v>
      </c>
      <c r="L26" s="7" t="s">
        <v>58</v>
      </c>
      <c r="M26" s="7" t="s">
        <v>36</v>
      </c>
      <c r="N26" s="7" t="s">
        <v>36</v>
      </c>
      <c r="O26" s="7" t="s">
        <v>36</v>
      </c>
      <c r="P26" s="7" t="s">
        <v>57</v>
      </c>
      <c r="Q26" s="7" t="s">
        <v>56</v>
      </c>
      <c r="R26" s="7" t="s">
        <v>56</v>
      </c>
      <c r="S26" s="7" t="s">
        <v>58</v>
      </c>
      <c r="T26" s="7" t="s">
        <v>57</v>
      </c>
      <c r="U26" s="7" t="s">
        <v>36</v>
      </c>
      <c r="V26" s="7" t="s">
        <v>36</v>
      </c>
      <c r="W26" s="7" t="s">
        <v>36</v>
      </c>
      <c r="X26" s="7" t="s">
        <v>56</v>
      </c>
      <c r="Y26" s="7" t="s">
        <v>56</v>
      </c>
      <c r="Z26" s="7" t="s">
        <v>58</v>
      </c>
      <c r="AA26" s="7" t="s">
        <v>36</v>
      </c>
      <c r="AB26" s="7" t="s">
        <v>36</v>
      </c>
      <c r="AC26" s="7" t="s">
        <v>36</v>
      </c>
      <c r="AD26" s="7" t="s">
        <v>36</v>
      </c>
      <c r="AE26" s="7" t="s">
        <v>36</v>
      </c>
      <c r="AF26" s="7" t="s">
        <v>36</v>
      </c>
      <c r="AG26" s="7" t="s">
        <v>58</v>
      </c>
      <c r="AH26" s="7" t="s">
        <v>36</v>
      </c>
      <c r="AI26" s="7" t="s">
        <v>36</v>
      </c>
      <c r="AJ26" s="7" t="s">
        <v>36</v>
      </c>
      <c r="AK26" s="7" t="s">
        <v>36</v>
      </c>
      <c r="AL26" s="7" t="s">
        <v>36</v>
      </c>
      <c r="AM26" s="7"/>
      <c r="AN26" s="7"/>
      <c r="AO26" s="7"/>
      <c r="AR26" s="7">
        <v>19</v>
      </c>
      <c r="AS26" s="7" t="s">
        <v>54</v>
      </c>
      <c r="AT26" s="7" t="s">
        <v>63</v>
      </c>
      <c r="AU26" s="7">
        <v>1019</v>
      </c>
      <c r="AV26" s="30">
        <f t="shared" si="2"/>
        <v>18</v>
      </c>
      <c r="AW26" s="30">
        <f t="shared" si="7"/>
        <v>4</v>
      </c>
      <c r="AX26" s="30">
        <f t="shared" si="3"/>
        <v>2</v>
      </c>
      <c r="AY26" s="31">
        <f t="shared" si="4"/>
        <v>4</v>
      </c>
      <c r="AZ26" s="31">
        <f t="shared" si="6"/>
        <v>28</v>
      </c>
      <c r="BA26" s="1">
        <f>Table13[[#This Row],[Days]]-Table13[[#This Row],[Absent]]</f>
        <v>24</v>
      </c>
      <c r="BB26" s="33">
        <v>6300</v>
      </c>
      <c r="BC26" s="47">
        <f>Table13[[#This Row],[Salary]]/Table13[[#This Row],[Days]]</f>
        <v>225</v>
      </c>
      <c r="BD26" s="34">
        <f>Table13[[#This Row],[Per Day Salary]]*Table13[[#This Row],[Absent]]</f>
        <v>900</v>
      </c>
      <c r="BE26" s="33">
        <f>Table13[[#This Row],[Salary]]-Table13[[#This Row],[Deduction ]]</f>
        <v>5400</v>
      </c>
    </row>
    <row r="27" spans="7:60" x14ac:dyDescent="0.35">
      <c r="G27" s="7">
        <v>20</v>
      </c>
      <c r="H27" s="27" t="s">
        <v>55</v>
      </c>
      <c r="I27" s="7">
        <v>1020</v>
      </c>
      <c r="J27" s="15">
        <f t="shared" si="5"/>
        <v>4</v>
      </c>
      <c r="K27" s="7" t="s">
        <v>36</v>
      </c>
      <c r="L27" s="7" t="s">
        <v>58</v>
      </c>
      <c r="M27" s="7" t="s">
        <v>36</v>
      </c>
      <c r="N27" s="7" t="s">
        <v>36</v>
      </c>
      <c r="O27" s="7" t="s">
        <v>36</v>
      </c>
      <c r="P27" s="7" t="s">
        <v>57</v>
      </c>
      <c r="Q27" s="7" t="s">
        <v>56</v>
      </c>
      <c r="R27" s="7" t="s">
        <v>56</v>
      </c>
      <c r="S27" s="7" t="s">
        <v>58</v>
      </c>
      <c r="T27" s="7" t="s">
        <v>57</v>
      </c>
      <c r="U27" s="7" t="s">
        <v>36</v>
      </c>
      <c r="V27" s="7" t="s">
        <v>36</v>
      </c>
      <c r="W27" s="7" t="s">
        <v>36</v>
      </c>
      <c r="X27" s="7" t="s">
        <v>56</v>
      </c>
      <c r="Y27" s="7" t="s">
        <v>56</v>
      </c>
      <c r="Z27" s="7" t="s">
        <v>58</v>
      </c>
      <c r="AA27" s="7" t="s">
        <v>36</v>
      </c>
      <c r="AB27" s="7" t="s">
        <v>36</v>
      </c>
      <c r="AC27" s="7" t="s">
        <v>36</v>
      </c>
      <c r="AD27" s="7" t="s">
        <v>36</v>
      </c>
      <c r="AE27" s="7" t="s">
        <v>36</v>
      </c>
      <c r="AF27" s="7" t="s">
        <v>36</v>
      </c>
      <c r="AG27" s="7" t="s">
        <v>58</v>
      </c>
      <c r="AH27" s="7" t="s">
        <v>36</v>
      </c>
      <c r="AI27" s="7" t="s">
        <v>36</v>
      </c>
      <c r="AJ27" s="7" t="s">
        <v>36</v>
      </c>
      <c r="AK27" s="7" t="s">
        <v>36</v>
      </c>
      <c r="AL27" s="7" t="s">
        <v>36</v>
      </c>
      <c r="AM27" s="7"/>
      <c r="AN27" s="7"/>
      <c r="AO27" s="7"/>
      <c r="AR27" s="7">
        <v>20</v>
      </c>
      <c r="AS27" s="7" t="s">
        <v>55</v>
      </c>
      <c r="AT27" s="7" t="s">
        <v>63</v>
      </c>
      <c r="AU27" s="7">
        <v>1020</v>
      </c>
      <c r="AV27" s="30">
        <f t="shared" si="2"/>
        <v>18</v>
      </c>
      <c r="AW27" s="30">
        <f t="shared" si="7"/>
        <v>4</v>
      </c>
      <c r="AX27" s="30">
        <f t="shared" si="3"/>
        <v>2</v>
      </c>
      <c r="AY27" s="31">
        <f t="shared" si="4"/>
        <v>4</v>
      </c>
      <c r="AZ27" s="31">
        <f t="shared" si="6"/>
        <v>28</v>
      </c>
      <c r="BA27" s="32">
        <f>Table13[[#This Row],[Days]]-Table13[[#This Row],[Absent]]</f>
        <v>24</v>
      </c>
      <c r="BB27" s="33">
        <v>6400</v>
      </c>
      <c r="BC27" s="47">
        <f>Table13[[#This Row],[Salary]]/Table13[[#This Row],[Days]]</f>
        <v>228.57142857142858</v>
      </c>
      <c r="BD27" s="34">
        <f>Table13[[#This Row],[Per Day Salary]]*Table13[[#This Row],[Absent]]</f>
        <v>914.28571428571433</v>
      </c>
      <c r="BE27" s="33">
        <f>Table13[[#This Row],[Salary]]-Table13[[#This Row],[Deduction ]]</f>
        <v>5485.7142857142853</v>
      </c>
    </row>
    <row r="28" spans="7:60" x14ac:dyDescent="0.35">
      <c r="L28" s="6"/>
      <c r="S28" s="6"/>
    </row>
    <row r="30" spans="7:60" x14ac:dyDescent="0.35">
      <c r="BA30" s="28"/>
    </row>
  </sheetData>
  <mergeCells count="1">
    <mergeCell ref="G6:I6"/>
  </mergeCells>
  <phoneticPr fontId="2" type="noConversion"/>
  <conditionalFormatting sqref="F5">
    <cfRule type="containsText" dxfId="54" priority="4" operator="containsText" text="P">
      <formula>NOT(ISERROR(SEARCH("P",F5)))</formula>
    </cfRule>
  </conditionalFormatting>
  <conditionalFormatting sqref="K8:AO27">
    <cfRule type="containsText" dxfId="53" priority="1" operator="containsText" text="L">
      <formula>NOT(ISERROR(SEARCH("L",K8)))</formula>
    </cfRule>
    <cfRule type="containsText" dxfId="52" priority="2" operator="containsText" text="A">
      <formula>NOT(ISERROR(SEARCH("A",K8)))</formula>
    </cfRule>
    <cfRule type="containsText" dxfId="51" priority="3" operator="containsText" text="P">
      <formula>NOT(ISERROR(SEARCH("P",K8)))</formula>
    </cfRule>
    <cfRule type="containsText" dxfId="50" priority="5" operator="containsText" text="WO">
      <formula>NOT(ISERROR(SEARCH("WO",K8)))</formula>
    </cfRule>
  </conditionalFormatting>
  <dataValidations count="2">
    <dataValidation type="list" allowBlank="1" showInputMessage="1" showErrorMessage="1" sqref="K8:K27 AA8:AF27 AH8:AO27 T8:Y27 M8:R27" xr:uid="{5286A2BA-F94F-42CD-AEFC-71C65AD7209A}">
      <formula1>"A,L,P"</formula1>
    </dataValidation>
    <dataValidation type="list" allowBlank="1" showInputMessage="1" showErrorMessage="1" sqref="L8:L27 S8:S27 Z8:Z27 AG8:AG27" xr:uid="{318A7750-D40B-426F-B7CE-A1EFE939AC8A}">
      <formula1>"A,L,P,WO"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274FCE4-ADD3-45D0-8B71-3016FA4FA05B}">
          <x14:formula1>
            <xm:f>Sheet1!$E$2:$E$13</xm:f>
          </x14:formula1>
          <xm:sqref>I5</xm:sqref>
        </x14:dataValidation>
        <x14:dataValidation type="list" allowBlank="1" showInputMessage="1" showErrorMessage="1" xr:uid="{27C8B925-9035-4B80-AC46-F2B931E573F5}">
          <x14:formula1>
            <xm:f>Sheet1!$J$2:$J$13</xm:f>
          </x14:formula1>
          <xm:sqref>G5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630B-110B-451D-A2BA-8D3D31569D90}">
  <sheetPr codeName="Sheet4"/>
  <dimension ref="F4:BN31"/>
  <sheetViews>
    <sheetView showGridLines="0" tabSelected="1" zoomScale="42" zoomScaleNormal="25" workbookViewId="0">
      <selection activeCell="AT32" sqref="AT32"/>
    </sheetView>
  </sheetViews>
  <sheetFormatPr defaultRowHeight="14.5" x14ac:dyDescent="0.35"/>
  <cols>
    <col min="6" max="6" width="2.7265625" bestFit="1" customWidth="1"/>
    <col min="7" max="7" width="11.26953125" bestFit="1" customWidth="1"/>
    <col min="8" max="8" width="10.453125" bestFit="1" customWidth="1"/>
    <col min="9" max="9" width="11" bestFit="1" customWidth="1"/>
    <col min="10" max="10" width="8.90625" bestFit="1" customWidth="1"/>
    <col min="11" max="11" width="4.81640625" bestFit="1" customWidth="1"/>
    <col min="12" max="12" width="6.08984375" bestFit="1" customWidth="1"/>
    <col min="13" max="13" width="4.81640625" customWidth="1"/>
    <col min="14" max="14" width="3.7265625" bestFit="1" customWidth="1"/>
    <col min="15" max="15" width="4.1796875" bestFit="1" customWidth="1"/>
    <col min="16" max="16" width="4.54296875" bestFit="1" customWidth="1"/>
    <col min="17" max="17" width="4" bestFit="1" customWidth="1"/>
    <col min="18" max="18" width="4.81640625" bestFit="1" customWidth="1"/>
    <col min="19" max="19" width="4.1796875" bestFit="1" customWidth="1"/>
    <col min="20" max="20" width="3.36328125" bestFit="1" customWidth="1"/>
    <col min="21" max="21" width="3.7265625" bestFit="1" customWidth="1"/>
    <col min="22" max="22" width="4.1796875" bestFit="1" customWidth="1"/>
    <col min="23" max="23" width="4.54296875" bestFit="1" customWidth="1"/>
    <col min="24" max="24" width="4" bestFit="1" customWidth="1"/>
    <col min="25" max="25" width="4.81640625" bestFit="1" customWidth="1"/>
    <col min="26" max="26" width="4.1796875" bestFit="1" customWidth="1"/>
    <col min="27" max="27" width="3.36328125" bestFit="1" customWidth="1"/>
    <col min="28" max="28" width="3.7265625" bestFit="1" customWidth="1"/>
    <col min="29" max="29" width="4.1796875" bestFit="1" customWidth="1"/>
    <col min="30" max="30" width="4.54296875" bestFit="1" customWidth="1"/>
    <col min="31" max="31" width="4" bestFit="1" customWidth="1"/>
    <col min="32" max="32" width="4.81640625" bestFit="1" customWidth="1"/>
    <col min="33" max="33" width="4.1796875" bestFit="1" customWidth="1"/>
    <col min="34" max="34" width="3.36328125" bestFit="1" customWidth="1"/>
    <col min="35" max="35" width="3.7265625" bestFit="1" customWidth="1"/>
    <col min="36" max="36" width="4.1796875" bestFit="1" customWidth="1"/>
    <col min="37" max="37" width="4.54296875" bestFit="1" customWidth="1"/>
    <col min="38" max="38" width="4" bestFit="1" customWidth="1"/>
    <col min="39" max="39" width="4.81640625" bestFit="1" customWidth="1"/>
    <col min="40" max="40" width="4.1796875" bestFit="1" customWidth="1"/>
    <col min="41" max="41" width="3.36328125" bestFit="1" customWidth="1"/>
    <col min="44" max="44" width="8.90625" bestFit="1" customWidth="1"/>
    <col min="45" max="46" width="10.453125" customWidth="1"/>
    <col min="47" max="47" width="12.81640625" customWidth="1"/>
    <col min="48" max="48" width="9.453125" customWidth="1"/>
    <col min="49" max="49" width="8.90625" customWidth="1"/>
    <col min="51" max="51" width="10.453125" customWidth="1"/>
    <col min="53" max="53" width="10.7265625" customWidth="1"/>
    <col min="54" max="54" width="10.7265625" bestFit="1" customWidth="1"/>
    <col min="55" max="55" width="14.36328125" customWidth="1"/>
    <col min="56" max="56" width="12" customWidth="1"/>
    <col min="57" max="57" width="12.54296875" customWidth="1"/>
  </cols>
  <sheetData>
    <row r="4" spans="6:66" ht="13" customHeight="1" x14ac:dyDescent="0.35">
      <c r="F4" s="21"/>
      <c r="G4" s="21"/>
      <c r="H4" s="21"/>
      <c r="I4" s="22">
        <f>G5</f>
        <v>45717</v>
      </c>
      <c r="J4" s="21"/>
      <c r="K4" s="21"/>
      <c r="L4" s="21"/>
    </row>
    <row r="5" spans="6:66" ht="15" thickBot="1" x14ac:dyDescent="0.4">
      <c r="F5" s="21" t="s">
        <v>23</v>
      </c>
      <c r="G5" s="26">
        <v>45717</v>
      </c>
      <c r="H5" s="24">
        <f>G5</f>
        <v>45717</v>
      </c>
      <c r="I5" s="24"/>
      <c r="J5" s="21"/>
      <c r="K5" s="21"/>
      <c r="L5" s="21" t="s">
        <v>25</v>
      </c>
      <c r="M5" s="23">
        <f>EOMONTH(G5,0)</f>
        <v>45747</v>
      </c>
      <c r="O5" s="3"/>
    </row>
    <row r="6" spans="6:66" ht="15" customHeight="1" thickBot="1" x14ac:dyDescent="0.45">
      <c r="G6" s="50" t="s">
        <v>27</v>
      </c>
      <c r="H6" s="51"/>
      <c r="I6" s="52"/>
      <c r="J6" s="11" t="s">
        <v>26</v>
      </c>
      <c r="K6" s="12" t="str">
        <f>TEXT(K7,"ddd")</f>
        <v>Sat</v>
      </c>
      <c r="L6" s="12" t="str">
        <f t="shared" ref="L6:AN6" si="0">TEXT(L7,"ddd")</f>
        <v>Sun</v>
      </c>
      <c r="M6" s="12" t="str">
        <f t="shared" si="0"/>
        <v>Mon</v>
      </c>
      <c r="N6" s="12" t="str">
        <f t="shared" si="0"/>
        <v>Tue</v>
      </c>
      <c r="O6" s="12" t="str">
        <f t="shared" si="0"/>
        <v>Wed</v>
      </c>
      <c r="P6" s="12" t="str">
        <f t="shared" si="0"/>
        <v>Thu</v>
      </c>
      <c r="Q6" s="12" t="str">
        <f t="shared" si="0"/>
        <v>Fri</v>
      </c>
      <c r="R6" s="12" t="str">
        <f t="shared" si="0"/>
        <v>Sat</v>
      </c>
      <c r="S6" s="12" t="str">
        <f t="shared" si="0"/>
        <v>Sun</v>
      </c>
      <c r="T6" s="12" t="str">
        <f t="shared" si="0"/>
        <v>Mon</v>
      </c>
      <c r="U6" s="12" t="str">
        <f t="shared" si="0"/>
        <v>Tue</v>
      </c>
      <c r="V6" s="12" t="str">
        <f t="shared" si="0"/>
        <v>Wed</v>
      </c>
      <c r="W6" s="12" t="str">
        <f t="shared" si="0"/>
        <v>Thu</v>
      </c>
      <c r="X6" s="12" t="str">
        <f t="shared" si="0"/>
        <v>Fri</v>
      </c>
      <c r="Y6" s="12" t="str">
        <f t="shared" si="0"/>
        <v>Sat</v>
      </c>
      <c r="Z6" s="12" t="str">
        <f t="shared" si="0"/>
        <v>Sun</v>
      </c>
      <c r="AA6" s="12" t="str">
        <f t="shared" si="0"/>
        <v>Mon</v>
      </c>
      <c r="AB6" s="12" t="str">
        <f t="shared" si="0"/>
        <v>Tue</v>
      </c>
      <c r="AC6" s="12" t="str">
        <f t="shared" si="0"/>
        <v>Wed</v>
      </c>
      <c r="AD6" s="12" t="str">
        <f t="shared" si="0"/>
        <v>Thu</v>
      </c>
      <c r="AE6" s="12" t="str">
        <f t="shared" si="0"/>
        <v>Fri</v>
      </c>
      <c r="AF6" s="12" t="str">
        <f t="shared" si="0"/>
        <v>Sat</v>
      </c>
      <c r="AG6" s="12" t="str">
        <f t="shared" si="0"/>
        <v>Sun</v>
      </c>
      <c r="AH6" s="12" t="str">
        <f t="shared" si="0"/>
        <v>Mon</v>
      </c>
      <c r="AI6" s="12" t="str">
        <f t="shared" si="0"/>
        <v>Tue</v>
      </c>
      <c r="AJ6" s="12" t="str">
        <f t="shared" si="0"/>
        <v>Wed</v>
      </c>
      <c r="AK6" s="12" t="str">
        <f t="shared" si="0"/>
        <v>Thu</v>
      </c>
      <c r="AL6" s="12" t="str">
        <f t="shared" si="0"/>
        <v>Fri</v>
      </c>
      <c r="AM6" s="13" t="str">
        <f t="shared" si="0"/>
        <v>Sat</v>
      </c>
      <c r="AN6" s="13" t="str">
        <f t="shared" si="0"/>
        <v>Sun</v>
      </c>
      <c r="AO6" s="14" t="str">
        <f>TEXT(AO7,"ddd")</f>
        <v>Mon</v>
      </c>
    </row>
    <row r="7" spans="6:66" ht="15" customHeight="1" x14ac:dyDescent="0.35">
      <c r="G7" s="25" t="s">
        <v>0</v>
      </c>
      <c r="H7" s="25" t="s">
        <v>1</v>
      </c>
      <c r="I7" s="25" t="s">
        <v>2</v>
      </c>
      <c r="J7" s="8" t="s">
        <v>24</v>
      </c>
      <c r="K7" s="9">
        <f>G5</f>
        <v>45717</v>
      </c>
      <c r="L7" s="9">
        <f>IF(K7&lt;$M$5,1+K7,"")</f>
        <v>45718</v>
      </c>
      <c r="M7" s="9">
        <f t="shared" ref="M7:AL7" si="1">IF(L7&lt;$M$5,1+L7,"")</f>
        <v>45719</v>
      </c>
      <c r="N7" s="9">
        <f t="shared" si="1"/>
        <v>45720</v>
      </c>
      <c r="O7" s="9">
        <f t="shared" si="1"/>
        <v>45721</v>
      </c>
      <c r="P7" s="9">
        <f t="shared" si="1"/>
        <v>45722</v>
      </c>
      <c r="Q7" s="9">
        <f t="shared" si="1"/>
        <v>45723</v>
      </c>
      <c r="R7" s="9">
        <f t="shared" si="1"/>
        <v>45724</v>
      </c>
      <c r="S7" s="9">
        <f t="shared" si="1"/>
        <v>45725</v>
      </c>
      <c r="T7" s="9">
        <f t="shared" si="1"/>
        <v>45726</v>
      </c>
      <c r="U7" s="9">
        <f t="shared" si="1"/>
        <v>45727</v>
      </c>
      <c r="V7" s="9">
        <f t="shared" si="1"/>
        <v>45728</v>
      </c>
      <c r="W7" s="9">
        <f t="shared" si="1"/>
        <v>45729</v>
      </c>
      <c r="X7" s="9">
        <f t="shared" si="1"/>
        <v>45730</v>
      </c>
      <c r="Y7" s="9">
        <f t="shared" si="1"/>
        <v>45731</v>
      </c>
      <c r="Z7" s="9">
        <f t="shared" si="1"/>
        <v>45732</v>
      </c>
      <c r="AA7" s="9">
        <f>IF(Z7&lt;$M$5,1+Z7,"")</f>
        <v>45733</v>
      </c>
      <c r="AB7" s="9">
        <f t="shared" si="1"/>
        <v>45734</v>
      </c>
      <c r="AC7" s="9">
        <f t="shared" si="1"/>
        <v>45735</v>
      </c>
      <c r="AD7" s="9">
        <f t="shared" si="1"/>
        <v>45736</v>
      </c>
      <c r="AE7" s="9">
        <f t="shared" si="1"/>
        <v>45737</v>
      </c>
      <c r="AF7" s="9">
        <f t="shared" si="1"/>
        <v>45738</v>
      </c>
      <c r="AG7" s="9">
        <f t="shared" si="1"/>
        <v>45739</v>
      </c>
      <c r="AH7" s="9">
        <f t="shared" si="1"/>
        <v>45740</v>
      </c>
      <c r="AI7" s="9">
        <f t="shared" si="1"/>
        <v>45741</v>
      </c>
      <c r="AJ7" s="9">
        <f t="shared" si="1"/>
        <v>45742</v>
      </c>
      <c r="AK7" s="9">
        <f t="shared" si="1"/>
        <v>45743</v>
      </c>
      <c r="AL7" s="9">
        <f t="shared" si="1"/>
        <v>45744</v>
      </c>
      <c r="AM7" s="9">
        <f>IF(AL7&lt;$M$5,1+AL7,"")</f>
        <v>45745</v>
      </c>
      <c r="AN7" s="9">
        <f>IF(AM7&lt;$M$5,1+AM7,"")</f>
        <v>45746</v>
      </c>
      <c r="AO7" s="10">
        <f>IF(AN7&lt;$M$5,1+AN7,"")</f>
        <v>45747</v>
      </c>
      <c r="AP7" s="5"/>
      <c r="AQ7" s="5"/>
      <c r="AR7" s="18" t="s">
        <v>0</v>
      </c>
      <c r="AS7" s="18" t="s">
        <v>1</v>
      </c>
      <c r="AT7" s="18" t="s">
        <v>72</v>
      </c>
      <c r="AU7" s="18" t="s">
        <v>2</v>
      </c>
      <c r="AV7" s="17" t="s">
        <v>28</v>
      </c>
      <c r="AW7" s="17" t="s">
        <v>29</v>
      </c>
      <c r="AX7" s="17" t="s">
        <v>30</v>
      </c>
      <c r="AY7" s="17" t="s">
        <v>24</v>
      </c>
      <c r="AZ7" s="17" t="s">
        <v>26</v>
      </c>
      <c r="BA7" s="17" t="s">
        <v>31</v>
      </c>
      <c r="BB7" s="17" t="s">
        <v>32</v>
      </c>
      <c r="BC7" s="17" t="s">
        <v>33</v>
      </c>
      <c r="BD7" s="17" t="s">
        <v>34</v>
      </c>
      <c r="BE7" s="17" t="s">
        <v>35</v>
      </c>
      <c r="BF7" s="16"/>
      <c r="BG7" s="5"/>
      <c r="BH7" s="5"/>
      <c r="BI7" s="5"/>
      <c r="BJ7" s="5"/>
      <c r="BK7" s="5"/>
      <c r="BL7" s="5"/>
      <c r="BM7" s="5"/>
      <c r="BN7" s="5"/>
    </row>
    <row r="8" spans="6:66" ht="15" customHeight="1" x14ac:dyDescent="0.35">
      <c r="G8" s="7">
        <v>1</v>
      </c>
      <c r="H8" s="27" t="s">
        <v>37</v>
      </c>
      <c r="I8" s="7">
        <v>1001</v>
      </c>
      <c r="J8" s="15">
        <f>COUNTIF(K$6:AO$6,"Sun")</f>
        <v>5</v>
      </c>
      <c r="K8" s="7" t="s">
        <v>36</v>
      </c>
      <c r="L8" s="7" t="s">
        <v>58</v>
      </c>
      <c r="M8" s="7" t="s">
        <v>36</v>
      </c>
      <c r="N8" s="7" t="s">
        <v>36</v>
      </c>
      <c r="O8" s="7" t="s">
        <v>36</v>
      </c>
      <c r="P8" s="20" t="s">
        <v>36</v>
      </c>
      <c r="Q8" s="20" t="s">
        <v>56</v>
      </c>
      <c r="R8" s="20" t="s">
        <v>56</v>
      </c>
      <c r="S8" s="20" t="s">
        <v>58</v>
      </c>
      <c r="T8" s="7" t="s">
        <v>57</v>
      </c>
      <c r="U8" s="7" t="s">
        <v>36</v>
      </c>
      <c r="V8" s="7" t="s">
        <v>36</v>
      </c>
      <c r="W8" s="7" t="s">
        <v>36</v>
      </c>
      <c r="X8" s="7" t="s">
        <v>56</v>
      </c>
      <c r="Y8" s="7" t="s">
        <v>56</v>
      </c>
      <c r="Z8" s="7" t="s">
        <v>58</v>
      </c>
      <c r="AA8" s="7" t="s">
        <v>36</v>
      </c>
      <c r="AB8" s="7" t="s">
        <v>36</v>
      </c>
      <c r="AC8" s="7" t="s">
        <v>36</v>
      </c>
      <c r="AD8" s="7" t="s">
        <v>57</v>
      </c>
      <c r="AE8" s="7" t="s">
        <v>36</v>
      </c>
      <c r="AF8" s="7" t="s">
        <v>36</v>
      </c>
      <c r="AG8" s="7" t="s">
        <v>58</v>
      </c>
      <c r="AH8" s="7" t="s">
        <v>36</v>
      </c>
      <c r="AI8" s="7" t="s">
        <v>36</v>
      </c>
      <c r="AJ8" s="7" t="s">
        <v>36</v>
      </c>
      <c r="AK8" s="7" t="s">
        <v>56</v>
      </c>
      <c r="AL8" s="7" t="s">
        <v>36</v>
      </c>
      <c r="AM8" s="7" t="s">
        <v>56</v>
      </c>
      <c r="AN8" s="7" t="s">
        <v>58</v>
      </c>
      <c r="AO8" s="7" t="s">
        <v>57</v>
      </c>
      <c r="AP8" s="5"/>
      <c r="AQ8" s="5"/>
      <c r="AR8" s="7">
        <v>1</v>
      </c>
      <c r="AS8" s="29" t="s">
        <v>37</v>
      </c>
      <c r="AT8" s="7" t="s">
        <v>64</v>
      </c>
      <c r="AU8" s="7">
        <v>1001</v>
      </c>
      <c r="AV8" s="30">
        <f t="shared" ref="AV8:AV27" si="2">COUNTIF($K8:$AO8,"P")</f>
        <v>17</v>
      </c>
      <c r="AW8" s="30">
        <f>COUNTIF($K8:$AO8,"A")</f>
        <v>6</v>
      </c>
      <c r="AX8" s="30">
        <f t="shared" ref="AX8:AX27" si="3">COUNTIF($K8:$AO8,"L")</f>
        <v>3</v>
      </c>
      <c r="AY8" s="31">
        <f t="shared" ref="AY8:AY27" si="4">COUNTIF($K8:$AO8,"WO")</f>
        <v>5</v>
      </c>
      <c r="AZ8" s="31">
        <f>($M$5-$H$5)+1</f>
        <v>31</v>
      </c>
      <c r="BA8" s="32">
        <f>Table134[[#This Row],[Days]]-Table134[[#This Row],[Absent]]</f>
        <v>25</v>
      </c>
      <c r="BB8" s="33">
        <v>4500</v>
      </c>
      <c r="BC8" s="36">
        <f>Table134[[#This Row],[Salary]]/Table134[[#This Row],[Days]]</f>
        <v>145.16129032258064</v>
      </c>
      <c r="BD8" s="34">
        <f>Table134[[#This Row],[Per Day Salary]]*Table134[[#This Row],[Absent]]</f>
        <v>870.9677419354839</v>
      </c>
      <c r="BE8" s="33">
        <f>Table134[[#This Row],[Salary]]-Table134[[#This Row],[Deduction ]]</f>
        <v>3629.0322580645161</v>
      </c>
      <c r="BF8" s="5"/>
      <c r="BG8" s="5"/>
      <c r="BH8" s="5"/>
      <c r="BI8" s="5"/>
      <c r="BJ8" s="5"/>
      <c r="BK8" s="5"/>
      <c r="BL8" s="5"/>
    </row>
    <row r="9" spans="6:66" ht="15" customHeight="1" x14ac:dyDescent="0.35">
      <c r="G9" s="7">
        <v>2</v>
      </c>
      <c r="H9" s="27" t="s">
        <v>38</v>
      </c>
      <c r="I9" s="7">
        <v>1002</v>
      </c>
      <c r="J9" s="15">
        <f t="shared" ref="J9:J27" si="5">COUNTIF(K$6:AO$6,"Sun")</f>
        <v>5</v>
      </c>
      <c r="K9" s="7" t="s">
        <v>36</v>
      </c>
      <c r="L9" s="7" t="s">
        <v>58</v>
      </c>
      <c r="M9" s="7" t="s">
        <v>36</v>
      </c>
      <c r="N9" s="7" t="s">
        <v>36</v>
      </c>
      <c r="O9" s="7" t="s">
        <v>36</v>
      </c>
      <c r="P9" s="20" t="s">
        <v>36</v>
      </c>
      <c r="Q9" s="20" t="s">
        <v>56</v>
      </c>
      <c r="R9" s="20" t="s">
        <v>56</v>
      </c>
      <c r="S9" s="20" t="s">
        <v>58</v>
      </c>
      <c r="T9" s="7" t="s">
        <v>57</v>
      </c>
      <c r="U9" s="7" t="s">
        <v>36</v>
      </c>
      <c r="V9" s="7" t="s">
        <v>36</v>
      </c>
      <c r="W9" s="7" t="s">
        <v>36</v>
      </c>
      <c r="X9" s="7" t="s">
        <v>56</v>
      </c>
      <c r="Y9" s="7" t="s">
        <v>56</v>
      </c>
      <c r="Z9" s="7" t="s">
        <v>58</v>
      </c>
      <c r="AA9" s="7" t="s">
        <v>36</v>
      </c>
      <c r="AB9" s="7" t="s">
        <v>36</v>
      </c>
      <c r="AC9" s="7" t="s">
        <v>36</v>
      </c>
      <c r="AD9" s="7" t="s">
        <v>57</v>
      </c>
      <c r="AE9" s="7" t="s">
        <v>36</v>
      </c>
      <c r="AF9" s="7" t="s">
        <v>36</v>
      </c>
      <c r="AG9" s="7" t="s">
        <v>58</v>
      </c>
      <c r="AH9" s="7" t="s">
        <v>36</v>
      </c>
      <c r="AI9" s="7" t="s">
        <v>36</v>
      </c>
      <c r="AJ9" s="7" t="s">
        <v>36</v>
      </c>
      <c r="AK9" s="7" t="s">
        <v>56</v>
      </c>
      <c r="AL9" s="7" t="s">
        <v>36</v>
      </c>
      <c r="AM9" s="7" t="s">
        <v>56</v>
      </c>
      <c r="AN9" s="7" t="s">
        <v>58</v>
      </c>
      <c r="AO9" s="7" t="s">
        <v>57</v>
      </c>
      <c r="AP9" s="5"/>
      <c r="AQ9" s="5"/>
      <c r="AR9" s="7">
        <v>2</v>
      </c>
      <c r="AS9" s="7" t="s">
        <v>38</v>
      </c>
      <c r="AT9" s="7" t="s">
        <v>64</v>
      </c>
      <c r="AU9" s="7">
        <v>1002</v>
      </c>
      <c r="AV9" s="30">
        <f t="shared" si="2"/>
        <v>17</v>
      </c>
      <c r="AW9" s="30">
        <f>COUNTIF($K9:$AO9,"A")</f>
        <v>6</v>
      </c>
      <c r="AX9" s="35">
        <f t="shared" si="3"/>
        <v>3</v>
      </c>
      <c r="AY9" s="31">
        <f t="shared" si="4"/>
        <v>5</v>
      </c>
      <c r="AZ9" s="31">
        <f t="shared" ref="AZ9:AZ27" si="6">($M$5-$H$5)+1</f>
        <v>31</v>
      </c>
      <c r="BA9" s="32">
        <f>Table134[[#This Row],[Days]]-Table134[[#This Row],[Absent]]</f>
        <v>25</v>
      </c>
      <c r="BB9" s="33">
        <v>4600</v>
      </c>
      <c r="BC9" s="36">
        <f>Table134[[#This Row],[Salary]]/Table134[[#This Row],[Days]]</f>
        <v>148.38709677419354</v>
      </c>
      <c r="BD9" s="34">
        <f>Table134[[#This Row],[Per Day Salary]]*Table134[[#This Row],[Absent]]</f>
        <v>890.32258064516122</v>
      </c>
      <c r="BE9" s="33">
        <f>Table134[[#This Row],[Salary]]-Table134[[#This Row],[Deduction ]]</f>
        <v>3709.677419354839</v>
      </c>
      <c r="BF9" s="5"/>
      <c r="BG9" s="5"/>
      <c r="BH9" s="5"/>
      <c r="BI9" s="5"/>
      <c r="BJ9" s="5"/>
      <c r="BK9" s="5"/>
      <c r="BL9" s="5"/>
    </row>
    <row r="10" spans="6:66" ht="15" customHeight="1" x14ac:dyDescent="0.35">
      <c r="G10" s="7">
        <v>3</v>
      </c>
      <c r="H10" s="27" t="s">
        <v>39</v>
      </c>
      <c r="I10" s="7">
        <v>1003</v>
      </c>
      <c r="J10" s="15">
        <f t="shared" si="5"/>
        <v>5</v>
      </c>
      <c r="K10" s="7" t="s">
        <v>36</v>
      </c>
      <c r="L10" s="7" t="s">
        <v>58</v>
      </c>
      <c r="M10" s="7" t="s">
        <v>36</v>
      </c>
      <c r="N10" s="7" t="s">
        <v>36</v>
      </c>
      <c r="O10" s="7" t="s">
        <v>36</v>
      </c>
      <c r="P10" s="20" t="s">
        <v>36</v>
      </c>
      <c r="Q10" s="20" t="s">
        <v>56</v>
      </c>
      <c r="R10" s="20" t="s">
        <v>56</v>
      </c>
      <c r="S10" s="20" t="s">
        <v>58</v>
      </c>
      <c r="T10" s="7" t="s">
        <v>57</v>
      </c>
      <c r="U10" s="7" t="s">
        <v>36</v>
      </c>
      <c r="V10" s="7" t="s">
        <v>36</v>
      </c>
      <c r="W10" s="7" t="s">
        <v>36</v>
      </c>
      <c r="X10" s="7" t="s">
        <v>56</v>
      </c>
      <c r="Y10" s="7" t="s">
        <v>56</v>
      </c>
      <c r="Z10" s="7" t="s">
        <v>58</v>
      </c>
      <c r="AA10" s="7" t="s">
        <v>36</v>
      </c>
      <c r="AB10" s="7" t="s">
        <v>36</v>
      </c>
      <c r="AC10" s="7" t="s">
        <v>36</v>
      </c>
      <c r="AD10" s="7" t="s">
        <v>57</v>
      </c>
      <c r="AE10" s="7" t="s">
        <v>36</v>
      </c>
      <c r="AF10" s="7" t="s">
        <v>36</v>
      </c>
      <c r="AG10" s="7" t="s">
        <v>58</v>
      </c>
      <c r="AH10" s="7" t="s">
        <v>36</v>
      </c>
      <c r="AI10" s="7" t="s">
        <v>36</v>
      </c>
      <c r="AJ10" s="7" t="s">
        <v>36</v>
      </c>
      <c r="AK10" s="7" t="s">
        <v>56</v>
      </c>
      <c r="AL10" s="7" t="s">
        <v>36</v>
      </c>
      <c r="AM10" s="7" t="s">
        <v>56</v>
      </c>
      <c r="AN10" s="7" t="s">
        <v>58</v>
      </c>
      <c r="AO10" s="7" t="s">
        <v>57</v>
      </c>
      <c r="AP10" s="5"/>
      <c r="AQ10" s="5"/>
      <c r="AR10" s="7">
        <v>3</v>
      </c>
      <c r="AS10" s="7" t="s">
        <v>39</v>
      </c>
      <c r="AT10" s="7" t="s">
        <v>64</v>
      </c>
      <c r="AU10" s="7">
        <v>1003</v>
      </c>
      <c r="AV10" s="30">
        <f t="shared" si="2"/>
        <v>17</v>
      </c>
      <c r="AW10" s="30">
        <f t="shared" ref="AW10:AW27" si="7">COUNTIF($K10:$AO10,"A")</f>
        <v>6</v>
      </c>
      <c r="AX10" s="30">
        <f t="shared" si="3"/>
        <v>3</v>
      </c>
      <c r="AY10" s="31">
        <f t="shared" si="4"/>
        <v>5</v>
      </c>
      <c r="AZ10" s="31">
        <f t="shared" si="6"/>
        <v>31</v>
      </c>
      <c r="BA10" s="32">
        <f>Table134[[#This Row],[Days]]-Table134[[#This Row],[Absent]]</f>
        <v>25</v>
      </c>
      <c r="BB10" s="33">
        <v>4700</v>
      </c>
      <c r="BC10" s="36">
        <f>Table134[[#This Row],[Salary]]/Table134[[#This Row],[Days]]</f>
        <v>151.61290322580646</v>
      </c>
      <c r="BD10" s="34">
        <f>Table134[[#This Row],[Per Day Salary]]*Table134[[#This Row],[Absent]]</f>
        <v>909.67741935483878</v>
      </c>
      <c r="BE10" s="33">
        <f>Table134[[#This Row],[Salary]]-Table134[[#This Row],[Deduction ]]</f>
        <v>3790.322580645161</v>
      </c>
      <c r="BF10" s="5"/>
      <c r="BG10" s="5"/>
      <c r="BH10" s="5"/>
      <c r="BI10" s="5"/>
      <c r="BJ10" s="5"/>
      <c r="BK10" s="5"/>
      <c r="BL10" s="5"/>
    </row>
    <row r="11" spans="6:66" ht="15" customHeight="1" x14ac:dyDescent="0.35">
      <c r="G11" s="7">
        <v>4</v>
      </c>
      <c r="H11" s="27" t="s">
        <v>59</v>
      </c>
      <c r="I11" s="7">
        <v>1004</v>
      </c>
      <c r="J11" s="15">
        <f t="shared" si="5"/>
        <v>5</v>
      </c>
      <c r="K11" s="7" t="s">
        <v>36</v>
      </c>
      <c r="L11" s="7" t="s">
        <v>58</v>
      </c>
      <c r="M11" s="7" t="s">
        <v>36</v>
      </c>
      <c r="N11" s="7" t="s">
        <v>36</v>
      </c>
      <c r="O11" s="7" t="s">
        <v>36</v>
      </c>
      <c r="P11" s="20" t="s">
        <v>36</v>
      </c>
      <c r="Q11" s="20" t="s">
        <v>56</v>
      </c>
      <c r="R11" s="20" t="s">
        <v>56</v>
      </c>
      <c r="S11" s="20" t="s">
        <v>58</v>
      </c>
      <c r="T11" s="7" t="s">
        <v>57</v>
      </c>
      <c r="U11" s="7" t="s">
        <v>36</v>
      </c>
      <c r="V11" s="7" t="s">
        <v>36</v>
      </c>
      <c r="W11" s="7" t="s">
        <v>36</v>
      </c>
      <c r="X11" s="7" t="s">
        <v>56</v>
      </c>
      <c r="Y11" s="7" t="s">
        <v>56</v>
      </c>
      <c r="Z11" s="7" t="s">
        <v>58</v>
      </c>
      <c r="AA11" s="7" t="s">
        <v>36</v>
      </c>
      <c r="AB11" s="7" t="s">
        <v>36</v>
      </c>
      <c r="AC11" s="7" t="s">
        <v>36</v>
      </c>
      <c r="AD11" s="7" t="s">
        <v>57</v>
      </c>
      <c r="AE11" s="7" t="s">
        <v>36</v>
      </c>
      <c r="AF11" s="7" t="s">
        <v>36</v>
      </c>
      <c r="AG11" s="7" t="s">
        <v>58</v>
      </c>
      <c r="AH11" s="7" t="s">
        <v>36</v>
      </c>
      <c r="AI11" s="7" t="s">
        <v>36</v>
      </c>
      <c r="AJ11" s="7" t="s">
        <v>36</v>
      </c>
      <c r="AK11" s="7" t="s">
        <v>56</v>
      </c>
      <c r="AL11" s="7" t="s">
        <v>36</v>
      </c>
      <c r="AM11" s="7" t="s">
        <v>56</v>
      </c>
      <c r="AN11" s="7" t="s">
        <v>58</v>
      </c>
      <c r="AO11" s="7" t="s">
        <v>57</v>
      </c>
      <c r="AP11" s="5"/>
      <c r="AQ11" s="5"/>
      <c r="AR11" s="7">
        <v>4</v>
      </c>
      <c r="AS11" s="7" t="s">
        <v>59</v>
      </c>
      <c r="AT11" s="7" t="s">
        <v>64</v>
      </c>
      <c r="AU11" s="7">
        <v>1004</v>
      </c>
      <c r="AV11" s="30">
        <f t="shared" si="2"/>
        <v>17</v>
      </c>
      <c r="AW11" s="30">
        <f t="shared" si="7"/>
        <v>6</v>
      </c>
      <c r="AX11" s="30">
        <f t="shared" si="3"/>
        <v>3</v>
      </c>
      <c r="AY11" s="31">
        <f t="shared" si="4"/>
        <v>5</v>
      </c>
      <c r="AZ11" s="31">
        <f t="shared" si="6"/>
        <v>31</v>
      </c>
      <c r="BA11" s="32">
        <f>Table134[[#This Row],[Days]]-Table134[[#This Row],[Absent]]</f>
        <v>25</v>
      </c>
      <c r="BB11" s="33">
        <v>4800</v>
      </c>
      <c r="BC11" s="36">
        <f>Table134[[#This Row],[Salary]]/Table134[[#This Row],[Days]]</f>
        <v>154.83870967741936</v>
      </c>
      <c r="BD11" s="34">
        <f>Table134[[#This Row],[Per Day Salary]]*Table134[[#This Row],[Absent]]</f>
        <v>929.0322580645161</v>
      </c>
      <c r="BE11" s="33">
        <f>Table134[[#This Row],[Salary]]-Table134[[#This Row],[Deduction ]]</f>
        <v>3870.9677419354839</v>
      </c>
      <c r="BF11" s="5"/>
      <c r="BG11" s="5"/>
      <c r="BH11" s="5"/>
      <c r="BI11" s="5"/>
      <c r="BJ11" s="5"/>
      <c r="BK11" s="5"/>
      <c r="BL11" s="5"/>
    </row>
    <row r="12" spans="6:66" ht="15" customHeight="1" x14ac:dyDescent="0.35">
      <c r="G12" s="7">
        <v>5</v>
      </c>
      <c r="H12" s="27" t="s">
        <v>40</v>
      </c>
      <c r="I12" s="7">
        <v>1005</v>
      </c>
      <c r="J12" s="15">
        <f t="shared" si="5"/>
        <v>5</v>
      </c>
      <c r="K12" s="7" t="s">
        <v>36</v>
      </c>
      <c r="L12" s="7" t="s">
        <v>58</v>
      </c>
      <c r="M12" s="7" t="s">
        <v>36</v>
      </c>
      <c r="N12" s="7" t="s">
        <v>36</v>
      </c>
      <c r="O12" s="7" t="s">
        <v>36</v>
      </c>
      <c r="P12" s="20" t="s">
        <v>36</v>
      </c>
      <c r="Q12" s="20" t="s">
        <v>56</v>
      </c>
      <c r="R12" s="20" t="s">
        <v>56</v>
      </c>
      <c r="S12" s="20" t="s">
        <v>58</v>
      </c>
      <c r="T12" s="7" t="s">
        <v>57</v>
      </c>
      <c r="U12" s="7" t="s">
        <v>36</v>
      </c>
      <c r="V12" s="7" t="s">
        <v>36</v>
      </c>
      <c r="W12" s="7" t="s">
        <v>36</v>
      </c>
      <c r="X12" s="7" t="s">
        <v>56</v>
      </c>
      <c r="Y12" s="7" t="s">
        <v>56</v>
      </c>
      <c r="Z12" s="7" t="s">
        <v>58</v>
      </c>
      <c r="AA12" s="7" t="s">
        <v>36</v>
      </c>
      <c r="AB12" s="7" t="s">
        <v>36</v>
      </c>
      <c r="AC12" s="7" t="s">
        <v>36</v>
      </c>
      <c r="AD12" s="7" t="s">
        <v>57</v>
      </c>
      <c r="AE12" s="7" t="s">
        <v>36</v>
      </c>
      <c r="AF12" s="7" t="s">
        <v>36</v>
      </c>
      <c r="AG12" s="7" t="s">
        <v>58</v>
      </c>
      <c r="AH12" s="7" t="s">
        <v>36</v>
      </c>
      <c r="AI12" s="7" t="s">
        <v>36</v>
      </c>
      <c r="AJ12" s="7" t="s">
        <v>36</v>
      </c>
      <c r="AK12" s="7" t="s">
        <v>56</v>
      </c>
      <c r="AL12" s="7" t="s">
        <v>36</v>
      </c>
      <c r="AM12" s="7" t="s">
        <v>56</v>
      </c>
      <c r="AN12" s="7" t="s">
        <v>58</v>
      </c>
      <c r="AO12" s="7" t="s">
        <v>57</v>
      </c>
      <c r="AP12" s="5"/>
      <c r="AQ12" s="5"/>
      <c r="AR12" s="7">
        <v>5</v>
      </c>
      <c r="AS12" s="7" t="s">
        <v>40</v>
      </c>
      <c r="AT12" s="7" t="s">
        <v>64</v>
      </c>
      <c r="AU12" s="7">
        <v>1005</v>
      </c>
      <c r="AV12" s="30">
        <f t="shared" si="2"/>
        <v>17</v>
      </c>
      <c r="AW12" s="30">
        <f t="shared" si="7"/>
        <v>6</v>
      </c>
      <c r="AX12" s="30">
        <f t="shared" si="3"/>
        <v>3</v>
      </c>
      <c r="AY12" s="31">
        <f t="shared" si="4"/>
        <v>5</v>
      </c>
      <c r="AZ12" s="31">
        <f t="shared" si="6"/>
        <v>31</v>
      </c>
      <c r="BA12" s="32">
        <f>Table134[[#This Row],[Days]]-Table134[[#This Row],[Absent]]</f>
        <v>25</v>
      </c>
      <c r="BB12" s="33">
        <v>4900</v>
      </c>
      <c r="BC12" s="36">
        <f>Table134[[#This Row],[Salary]]/Table134[[#This Row],[Days]]</f>
        <v>158.06451612903226</v>
      </c>
      <c r="BD12" s="34">
        <f>Table134[[#This Row],[Per Day Salary]]*Table134[[#This Row],[Absent]]</f>
        <v>948.38709677419354</v>
      </c>
      <c r="BE12" s="33">
        <f>Table134[[#This Row],[Salary]]-Table134[[#This Row],[Deduction ]]</f>
        <v>3951.6129032258063</v>
      </c>
      <c r="BF12" s="5"/>
      <c r="BG12" s="5"/>
      <c r="BH12" s="5"/>
      <c r="BI12" s="5"/>
      <c r="BJ12" s="5"/>
      <c r="BK12" s="5"/>
      <c r="BL12" s="5"/>
    </row>
    <row r="13" spans="6:66" ht="15" customHeight="1" x14ac:dyDescent="0.35">
      <c r="G13" s="7">
        <v>6</v>
      </c>
      <c r="H13" s="27" t="s">
        <v>41</v>
      </c>
      <c r="I13" s="7">
        <v>1006</v>
      </c>
      <c r="J13" s="15">
        <f t="shared" si="5"/>
        <v>5</v>
      </c>
      <c r="K13" s="7" t="s">
        <v>36</v>
      </c>
      <c r="L13" s="7" t="s">
        <v>58</v>
      </c>
      <c r="M13" s="7" t="s">
        <v>36</v>
      </c>
      <c r="N13" s="7" t="s">
        <v>36</v>
      </c>
      <c r="O13" s="7" t="s">
        <v>36</v>
      </c>
      <c r="P13" s="20" t="s">
        <v>36</v>
      </c>
      <c r="Q13" s="20" t="s">
        <v>56</v>
      </c>
      <c r="R13" s="20" t="s">
        <v>56</v>
      </c>
      <c r="S13" s="20" t="s">
        <v>58</v>
      </c>
      <c r="T13" s="7" t="s">
        <v>57</v>
      </c>
      <c r="U13" s="7" t="s">
        <v>36</v>
      </c>
      <c r="V13" s="7" t="s">
        <v>36</v>
      </c>
      <c r="W13" s="7" t="s">
        <v>36</v>
      </c>
      <c r="X13" s="7" t="s">
        <v>56</v>
      </c>
      <c r="Y13" s="7" t="s">
        <v>56</v>
      </c>
      <c r="Z13" s="7" t="s">
        <v>58</v>
      </c>
      <c r="AA13" s="7" t="s">
        <v>36</v>
      </c>
      <c r="AB13" s="7" t="s">
        <v>36</v>
      </c>
      <c r="AC13" s="7" t="s">
        <v>36</v>
      </c>
      <c r="AD13" s="7" t="s">
        <v>57</v>
      </c>
      <c r="AE13" s="7" t="s">
        <v>36</v>
      </c>
      <c r="AF13" s="7" t="s">
        <v>36</v>
      </c>
      <c r="AG13" s="7" t="s">
        <v>58</v>
      </c>
      <c r="AH13" s="7" t="s">
        <v>36</v>
      </c>
      <c r="AI13" s="7" t="s">
        <v>36</v>
      </c>
      <c r="AJ13" s="7" t="s">
        <v>36</v>
      </c>
      <c r="AK13" s="7" t="s">
        <v>56</v>
      </c>
      <c r="AL13" s="7" t="s">
        <v>36</v>
      </c>
      <c r="AM13" s="7" t="s">
        <v>56</v>
      </c>
      <c r="AN13" s="7" t="s">
        <v>58</v>
      </c>
      <c r="AO13" s="7" t="s">
        <v>57</v>
      </c>
      <c r="AP13" s="5"/>
      <c r="AQ13" s="5"/>
      <c r="AR13" s="7">
        <v>6</v>
      </c>
      <c r="AS13" s="7" t="s">
        <v>41</v>
      </c>
      <c r="AT13" s="7" t="s">
        <v>64</v>
      </c>
      <c r="AU13" s="7">
        <v>1006</v>
      </c>
      <c r="AV13" s="30">
        <f t="shared" si="2"/>
        <v>17</v>
      </c>
      <c r="AW13" s="30">
        <f t="shared" si="7"/>
        <v>6</v>
      </c>
      <c r="AX13" s="30">
        <f t="shared" si="3"/>
        <v>3</v>
      </c>
      <c r="AY13" s="31">
        <f t="shared" si="4"/>
        <v>5</v>
      </c>
      <c r="AZ13" s="31">
        <f t="shared" si="6"/>
        <v>31</v>
      </c>
      <c r="BA13" s="32">
        <f>Table134[[#This Row],[Days]]-Table134[[#This Row],[Absent]]</f>
        <v>25</v>
      </c>
      <c r="BB13" s="33">
        <v>5000</v>
      </c>
      <c r="BC13" s="36">
        <f>Table134[[#This Row],[Salary]]/Table134[[#This Row],[Days]]</f>
        <v>161.29032258064515</v>
      </c>
      <c r="BD13" s="34">
        <f>Table134[[#This Row],[Per Day Salary]]*Table134[[#This Row],[Absent]]</f>
        <v>967.74193548387098</v>
      </c>
      <c r="BE13" s="33">
        <f>Table134[[#This Row],[Salary]]-Table134[[#This Row],[Deduction ]]</f>
        <v>4032.2580645161288</v>
      </c>
      <c r="BF13" s="5"/>
      <c r="BG13" s="5"/>
      <c r="BH13" s="5"/>
      <c r="BI13" s="5"/>
      <c r="BJ13" s="5"/>
      <c r="BK13" s="5"/>
      <c r="BL13" s="5"/>
    </row>
    <row r="14" spans="6:66" ht="15" customHeight="1" x14ac:dyDescent="0.35">
      <c r="G14" s="7">
        <v>7</v>
      </c>
      <c r="H14" s="27" t="s">
        <v>42</v>
      </c>
      <c r="I14" s="7">
        <v>1007</v>
      </c>
      <c r="J14" s="15">
        <f t="shared" si="5"/>
        <v>5</v>
      </c>
      <c r="K14" s="7" t="s">
        <v>36</v>
      </c>
      <c r="L14" s="7" t="s">
        <v>58</v>
      </c>
      <c r="M14" s="7" t="s">
        <v>36</v>
      </c>
      <c r="N14" s="7" t="s">
        <v>36</v>
      </c>
      <c r="O14" s="7" t="s">
        <v>36</v>
      </c>
      <c r="P14" s="20" t="s">
        <v>36</v>
      </c>
      <c r="Q14" s="20" t="s">
        <v>56</v>
      </c>
      <c r="R14" s="20" t="s">
        <v>56</v>
      </c>
      <c r="S14" s="20" t="s">
        <v>58</v>
      </c>
      <c r="T14" s="7" t="s">
        <v>57</v>
      </c>
      <c r="U14" s="7" t="s">
        <v>36</v>
      </c>
      <c r="V14" s="7" t="s">
        <v>36</v>
      </c>
      <c r="W14" s="7" t="s">
        <v>36</v>
      </c>
      <c r="X14" s="7" t="s">
        <v>56</v>
      </c>
      <c r="Y14" s="7" t="s">
        <v>56</v>
      </c>
      <c r="Z14" s="7" t="s">
        <v>58</v>
      </c>
      <c r="AA14" s="7" t="s">
        <v>36</v>
      </c>
      <c r="AB14" s="7" t="s">
        <v>36</v>
      </c>
      <c r="AC14" s="7" t="s">
        <v>36</v>
      </c>
      <c r="AD14" s="7" t="s">
        <v>57</v>
      </c>
      <c r="AE14" s="7" t="s">
        <v>36</v>
      </c>
      <c r="AF14" s="7" t="s">
        <v>36</v>
      </c>
      <c r="AG14" s="7" t="s">
        <v>58</v>
      </c>
      <c r="AH14" s="7" t="s">
        <v>36</v>
      </c>
      <c r="AI14" s="7" t="s">
        <v>36</v>
      </c>
      <c r="AJ14" s="7" t="s">
        <v>36</v>
      </c>
      <c r="AK14" s="7" t="s">
        <v>56</v>
      </c>
      <c r="AL14" s="7" t="s">
        <v>36</v>
      </c>
      <c r="AM14" s="7" t="s">
        <v>56</v>
      </c>
      <c r="AN14" s="7" t="s">
        <v>58</v>
      </c>
      <c r="AO14" s="7" t="s">
        <v>57</v>
      </c>
      <c r="AR14" s="7">
        <v>7</v>
      </c>
      <c r="AS14" s="7" t="s">
        <v>42</v>
      </c>
      <c r="AT14" s="7" t="s">
        <v>64</v>
      </c>
      <c r="AU14" s="7">
        <v>1007</v>
      </c>
      <c r="AV14" s="30">
        <f t="shared" si="2"/>
        <v>17</v>
      </c>
      <c r="AW14" s="30">
        <f t="shared" si="7"/>
        <v>6</v>
      </c>
      <c r="AX14" s="30">
        <f t="shared" si="3"/>
        <v>3</v>
      </c>
      <c r="AY14" s="31">
        <f t="shared" si="4"/>
        <v>5</v>
      </c>
      <c r="AZ14" s="31">
        <f t="shared" si="6"/>
        <v>31</v>
      </c>
      <c r="BA14" s="32">
        <f>Table134[[#This Row],[Days]]-Table134[[#This Row],[Absent]]</f>
        <v>25</v>
      </c>
      <c r="BB14" s="33">
        <v>5100</v>
      </c>
      <c r="BC14" s="36">
        <f>Table134[[#This Row],[Salary]]/Table134[[#This Row],[Days]]</f>
        <v>164.51612903225808</v>
      </c>
      <c r="BD14" s="34">
        <f>Table134[[#This Row],[Per Day Salary]]*Table134[[#This Row],[Absent]]</f>
        <v>987.09677419354853</v>
      </c>
      <c r="BE14" s="33">
        <f>Table134[[#This Row],[Salary]]-Table134[[#This Row],[Deduction ]]</f>
        <v>4112.9032258064517</v>
      </c>
    </row>
    <row r="15" spans="6:66" ht="15" customHeight="1" x14ac:dyDescent="0.35">
      <c r="G15" s="7">
        <v>8</v>
      </c>
      <c r="H15" s="27" t="s">
        <v>43</v>
      </c>
      <c r="I15" s="7">
        <v>1008</v>
      </c>
      <c r="J15" s="15">
        <f t="shared" si="5"/>
        <v>5</v>
      </c>
      <c r="K15" s="7" t="s">
        <v>36</v>
      </c>
      <c r="L15" s="7" t="s">
        <v>58</v>
      </c>
      <c r="M15" s="7" t="s">
        <v>36</v>
      </c>
      <c r="N15" s="7" t="s">
        <v>36</v>
      </c>
      <c r="O15" s="7" t="s">
        <v>36</v>
      </c>
      <c r="P15" s="20" t="s">
        <v>36</v>
      </c>
      <c r="Q15" s="20" t="s">
        <v>56</v>
      </c>
      <c r="R15" s="20" t="s">
        <v>56</v>
      </c>
      <c r="S15" s="20" t="s">
        <v>58</v>
      </c>
      <c r="T15" s="7" t="s">
        <v>57</v>
      </c>
      <c r="U15" s="7" t="s">
        <v>36</v>
      </c>
      <c r="V15" s="7" t="s">
        <v>36</v>
      </c>
      <c r="W15" s="7" t="s">
        <v>36</v>
      </c>
      <c r="X15" s="7" t="s">
        <v>56</v>
      </c>
      <c r="Y15" s="7" t="s">
        <v>56</v>
      </c>
      <c r="Z15" s="7" t="s">
        <v>58</v>
      </c>
      <c r="AA15" s="7" t="s">
        <v>36</v>
      </c>
      <c r="AB15" s="7" t="s">
        <v>36</v>
      </c>
      <c r="AC15" s="7" t="s">
        <v>36</v>
      </c>
      <c r="AD15" s="7" t="s">
        <v>57</v>
      </c>
      <c r="AE15" s="7" t="s">
        <v>36</v>
      </c>
      <c r="AF15" s="7" t="s">
        <v>36</v>
      </c>
      <c r="AG15" s="7" t="s">
        <v>58</v>
      </c>
      <c r="AH15" s="7" t="s">
        <v>36</v>
      </c>
      <c r="AI15" s="7" t="s">
        <v>36</v>
      </c>
      <c r="AJ15" s="7" t="s">
        <v>36</v>
      </c>
      <c r="AK15" s="7" t="s">
        <v>56</v>
      </c>
      <c r="AL15" s="7" t="s">
        <v>36</v>
      </c>
      <c r="AM15" s="7" t="s">
        <v>56</v>
      </c>
      <c r="AN15" s="7" t="s">
        <v>58</v>
      </c>
      <c r="AO15" s="7" t="s">
        <v>57</v>
      </c>
      <c r="AR15" s="7">
        <v>8</v>
      </c>
      <c r="AS15" s="7" t="s">
        <v>43</v>
      </c>
      <c r="AT15" s="7" t="s">
        <v>64</v>
      </c>
      <c r="AU15" s="7">
        <v>1008</v>
      </c>
      <c r="AV15" s="30">
        <f t="shared" si="2"/>
        <v>17</v>
      </c>
      <c r="AW15" s="30">
        <f t="shared" si="7"/>
        <v>6</v>
      </c>
      <c r="AX15" s="30">
        <f t="shared" si="3"/>
        <v>3</v>
      </c>
      <c r="AY15" s="31">
        <f t="shared" si="4"/>
        <v>5</v>
      </c>
      <c r="AZ15" s="31">
        <f t="shared" si="6"/>
        <v>31</v>
      </c>
      <c r="BA15" s="32">
        <f>Table134[[#This Row],[Days]]-Table134[[#This Row],[Absent]]</f>
        <v>25</v>
      </c>
      <c r="BB15" s="33">
        <v>5200</v>
      </c>
      <c r="BC15" s="36">
        <f>Table134[[#This Row],[Salary]]/Table134[[#This Row],[Days]]</f>
        <v>167.74193548387098</v>
      </c>
      <c r="BD15" s="34">
        <f>Table134[[#This Row],[Per Day Salary]]*Table134[[#This Row],[Absent]]</f>
        <v>1006.4516129032259</v>
      </c>
      <c r="BE15" s="33">
        <f>Table134[[#This Row],[Salary]]-Table134[[#This Row],[Deduction ]]</f>
        <v>4193.5483870967746</v>
      </c>
    </row>
    <row r="16" spans="6:66" ht="15" customHeight="1" thickBot="1" x14ac:dyDescent="0.4">
      <c r="G16" s="7">
        <v>9</v>
      </c>
      <c r="H16" s="27" t="s">
        <v>44</v>
      </c>
      <c r="I16" s="7">
        <v>1009</v>
      </c>
      <c r="J16" s="15">
        <f t="shared" si="5"/>
        <v>5</v>
      </c>
      <c r="K16" s="7" t="s">
        <v>36</v>
      </c>
      <c r="L16" s="7" t="s">
        <v>58</v>
      </c>
      <c r="M16" s="7" t="s">
        <v>36</v>
      </c>
      <c r="N16" s="7" t="s">
        <v>36</v>
      </c>
      <c r="O16" s="7" t="s">
        <v>36</v>
      </c>
      <c r="P16" s="20" t="s">
        <v>36</v>
      </c>
      <c r="Q16" s="20" t="s">
        <v>56</v>
      </c>
      <c r="R16" s="20" t="s">
        <v>56</v>
      </c>
      <c r="S16" s="20" t="s">
        <v>58</v>
      </c>
      <c r="T16" s="7" t="s">
        <v>57</v>
      </c>
      <c r="U16" s="7" t="s">
        <v>36</v>
      </c>
      <c r="V16" s="7" t="s">
        <v>36</v>
      </c>
      <c r="W16" s="7" t="s">
        <v>36</v>
      </c>
      <c r="X16" s="7" t="s">
        <v>56</v>
      </c>
      <c r="Y16" s="7" t="s">
        <v>56</v>
      </c>
      <c r="Z16" s="7" t="s">
        <v>58</v>
      </c>
      <c r="AA16" s="7" t="s">
        <v>36</v>
      </c>
      <c r="AB16" s="7" t="s">
        <v>36</v>
      </c>
      <c r="AC16" s="7" t="s">
        <v>36</v>
      </c>
      <c r="AD16" s="7" t="s">
        <v>57</v>
      </c>
      <c r="AE16" s="7" t="s">
        <v>36</v>
      </c>
      <c r="AF16" s="7" t="s">
        <v>36</v>
      </c>
      <c r="AG16" s="7" t="s">
        <v>58</v>
      </c>
      <c r="AH16" s="7" t="s">
        <v>36</v>
      </c>
      <c r="AI16" s="7" t="s">
        <v>36</v>
      </c>
      <c r="AJ16" s="7" t="s">
        <v>36</v>
      </c>
      <c r="AK16" s="7" t="s">
        <v>56</v>
      </c>
      <c r="AL16" s="7" t="s">
        <v>36</v>
      </c>
      <c r="AM16" s="7" t="s">
        <v>56</v>
      </c>
      <c r="AN16" s="7" t="s">
        <v>58</v>
      </c>
      <c r="AO16" s="7" t="s">
        <v>57</v>
      </c>
      <c r="AR16" s="7">
        <v>9</v>
      </c>
      <c r="AS16" s="7" t="s">
        <v>44</v>
      </c>
      <c r="AT16" s="7" t="s">
        <v>64</v>
      </c>
      <c r="AU16" s="7">
        <v>1009</v>
      </c>
      <c r="AV16" s="30">
        <f t="shared" si="2"/>
        <v>17</v>
      </c>
      <c r="AW16" s="30">
        <f t="shared" si="7"/>
        <v>6</v>
      </c>
      <c r="AX16" s="30">
        <f t="shared" si="3"/>
        <v>3</v>
      </c>
      <c r="AY16" s="31">
        <f t="shared" si="4"/>
        <v>5</v>
      </c>
      <c r="AZ16" s="31">
        <f t="shared" si="6"/>
        <v>31</v>
      </c>
      <c r="BA16" s="32">
        <f>Table134[[#This Row],[Days]]-Table134[[#This Row],[Absent]]</f>
        <v>25</v>
      </c>
      <c r="BB16" s="33">
        <v>5300</v>
      </c>
      <c r="BC16" s="36">
        <f>Table134[[#This Row],[Salary]]/Table134[[#This Row],[Days]]</f>
        <v>170.96774193548387</v>
      </c>
      <c r="BD16" s="34">
        <f>Table134[[#This Row],[Per Day Salary]]*Table134[[#This Row],[Absent]]</f>
        <v>1025.8064516129032</v>
      </c>
      <c r="BE16" s="33">
        <f>Table134[[#This Row],[Salary]]-Table134[[#This Row],[Deduction ]]</f>
        <v>4274.1935483870966</v>
      </c>
    </row>
    <row r="17" spans="7:60" ht="15" customHeight="1" thickBot="1" x14ac:dyDescent="0.4">
      <c r="G17" s="7">
        <v>10</v>
      </c>
      <c r="H17" s="27" t="s">
        <v>45</v>
      </c>
      <c r="I17" s="7">
        <v>1010</v>
      </c>
      <c r="J17" s="15">
        <f t="shared" si="5"/>
        <v>5</v>
      </c>
      <c r="K17" s="7" t="s">
        <v>36</v>
      </c>
      <c r="L17" s="7" t="s">
        <v>58</v>
      </c>
      <c r="M17" s="7" t="s">
        <v>36</v>
      </c>
      <c r="N17" s="7" t="s">
        <v>36</v>
      </c>
      <c r="O17" s="7" t="s">
        <v>36</v>
      </c>
      <c r="P17" s="20" t="s">
        <v>36</v>
      </c>
      <c r="Q17" s="20" t="s">
        <v>56</v>
      </c>
      <c r="R17" s="20" t="s">
        <v>56</v>
      </c>
      <c r="S17" s="20" t="s">
        <v>58</v>
      </c>
      <c r="T17" s="7" t="s">
        <v>57</v>
      </c>
      <c r="U17" s="7" t="s">
        <v>36</v>
      </c>
      <c r="V17" s="7" t="s">
        <v>36</v>
      </c>
      <c r="W17" s="7" t="s">
        <v>36</v>
      </c>
      <c r="X17" s="7" t="s">
        <v>56</v>
      </c>
      <c r="Y17" s="7" t="s">
        <v>56</v>
      </c>
      <c r="Z17" s="7" t="s">
        <v>58</v>
      </c>
      <c r="AA17" s="7" t="s">
        <v>36</v>
      </c>
      <c r="AB17" s="7" t="s">
        <v>36</v>
      </c>
      <c r="AC17" s="7" t="s">
        <v>36</v>
      </c>
      <c r="AD17" s="7" t="s">
        <v>57</v>
      </c>
      <c r="AE17" s="7" t="s">
        <v>36</v>
      </c>
      <c r="AF17" s="7" t="s">
        <v>36</v>
      </c>
      <c r="AG17" s="7" t="s">
        <v>58</v>
      </c>
      <c r="AH17" s="7" t="s">
        <v>36</v>
      </c>
      <c r="AI17" s="7" t="s">
        <v>36</v>
      </c>
      <c r="AJ17" s="7" t="s">
        <v>36</v>
      </c>
      <c r="AK17" s="7" t="s">
        <v>56</v>
      </c>
      <c r="AL17" s="7" t="s">
        <v>36</v>
      </c>
      <c r="AM17" s="7" t="s">
        <v>56</v>
      </c>
      <c r="AN17" s="7" t="s">
        <v>58</v>
      </c>
      <c r="AO17" s="7" t="s">
        <v>57</v>
      </c>
      <c r="AR17" s="7">
        <v>10</v>
      </c>
      <c r="AS17" s="7" t="s">
        <v>45</v>
      </c>
      <c r="AT17" s="7" t="s">
        <v>64</v>
      </c>
      <c r="AU17" s="7">
        <v>1010</v>
      </c>
      <c r="AV17" s="30">
        <f t="shared" si="2"/>
        <v>17</v>
      </c>
      <c r="AW17" s="30">
        <f t="shared" si="7"/>
        <v>6</v>
      </c>
      <c r="AX17" s="30">
        <f t="shared" si="3"/>
        <v>3</v>
      </c>
      <c r="AY17" s="31">
        <f t="shared" si="4"/>
        <v>5</v>
      </c>
      <c r="AZ17" s="31">
        <f t="shared" si="6"/>
        <v>31</v>
      </c>
      <c r="BA17" s="32">
        <f>Table134[[#This Row],[Days]]-Table134[[#This Row],[Absent]]</f>
        <v>25</v>
      </c>
      <c r="BB17" s="33">
        <v>5400</v>
      </c>
      <c r="BC17" s="36">
        <f>Table134[[#This Row],[Salary]]/Table134[[#This Row],[Days]]</f>
        <v>174.19354838709677</v>
      </c>
      <c r="BD17" s="34">
        <f>Table134[[#This Row],[Per Day Salary]]*Table134[[#This Row],[Absent]]</f>
        <v>1045.1612903225805</v>
      </c>
      <c r="BE17" s="33">
        <f>Table134[[#This Row],[Salary]]-Table134[[#This Row],[Deduction ]]</f>
        <v>4354.8387096774195</v>
      </c>
      <c r="BH17" s="19"/>
    </row>
    <row r="18" spans="7:60" ht="15" customHeight="1" x14ac:dyDescent="0.35">
      <c r="G18" s="7">
        <v>11</v>
      </c>
      <c r="H18" s="27" t="s">
        <v>46</v>
      </c>
      <c r="I18" s="7">
        <v>1011</v>
      </c>
      <c r="J18" s="15">
        <f t="shared" si="5"/>
        <v>5</v>
      </c>
      <c r="K18" s="7" t="s">
        <v>36</v>
      </c>
      <c r="L18" s="7" t="s">
        <v>58</v>
      </c>
      <c r="M18" s="7" t="s">
        <v>36</v>
      </c>
      <c r="N18" s="7" t="s">
        <v>36</v>
      </c>
      <c r="O18" s="7" t="s">
        <v>36</v>
      </c>
      <c r="P18" s="20" t="s">
        <v>36</v>
      </c>
      <c r="Q18" s="20" t="s">
        <v>56</v>
      </c>
      <c r="R18" s="20" t="s">
        <v>56</v>
      </c>
      <c r="S18" s="20" t="s">
        <v>58</v>
      </c>
      <c r="T18" s="7" t="s">
        <v>57</v>
      </c>
      <c r="U18" s="7" t="s">
        <v>36</v>
      </c>
      <c r="V18" s="7" t="s">
        <v>36</v>
      </c>
      <c r="W18" s="7" t="s">
        <v>36</v>
      </c>
      <c r="X18" s="7" t="s">
        <v>56</v>
      </c>
      <c r="Y18" s="7" t="s">
        <v>56</v>
      </c>
      <c r="Z18" s="7" t="s">
        <v>58</v>
      </c>
      <c r="AA18" s="7" t="s">
        <v>36</v>
      </c>
      <c r="AB18" s="7" t="s">
        <v>36</v>
      </c>
      <c r="AC18" s="7" t="s">
        <v>36</v>
      </c>
      <c r="AD18" s="7" t="s">
        <v>57</v>
      </c>
      <c r="AE18" s="7" t="s">
        <v>36</v>
      </c>
      <c r="AF18" s="7" t="s">
        <v>36</v>
      </c>
      <c r="AG18" s="7" t="s">
        <v>58</v>
      </c>
      <c r="AH18" s="7" t="s">
        <v>36</v>
      </c>
      <c r="AI18" s="7" t="s">
        <v>36</v>
      </c>
      <c r="AJ18" s="7" t="s">
        <v>36</v>
      </c>
      <c r="AK18" s="7" t="s">
        <v>56</v>
      </c>
      <c r="AL18" s="7" t="s">
        <v>36</v>
      </c>
      <c r="AM18" s="7" t="s">
        <v>56</v>
      </c>
      <c r="AN18" s="7" t="s">
        <v>58</v>
      </c>
      <c r="AO18" s="7" t="s">
        <v>57</v>
      </c>
      <c r="AR18" s="7">
        <v>11</v>
      </c>
      <c r="AS18" s="7" t="s">
        <v>46</v>
      </c>
      <c r="AT18" s="7" t="s">
        <v>64</v>
      </c>
      <c r="AU18" s="7">
        <v>1011</v>
      </c>
      <c r="AV18" s="30">
        <f t="shared" si="2"/>
        <v>17</v>
      </c>
      <c r="AW18" s="30">
        <f t="shared" si="7"/>
        <v>6</v>
      </c>
      <c r="AX18" s="30">
        <f t="shared" si="3"/>
        <v>3</v>
      </c>
      <c r="AY18" s="31">
        <f t="shared" si="4"/>
        <v>5</v>
      </c>
      <c r="AZ18" s="31">
        <f t="shared" si="6"/>
        <v>31</v>
      </c>
      <c r="BA18" s="32">
        <f>Table134[[#This Row],[Days]]-Table134[[#This Row],[Absent]]</f>
        <v>25</v>
      </c>
      <c r="BB18" s="33">
        <v>5500</v>
      </c>
      <c r="BC18" s="36">
        <f>Table134[[#This Row],[Salary]]/Table134[[#This Row],[Days]]</f>
        <v>177.41935483870967</v>
      </c>
      <c r="BD18" s="34">
        <f>Table134[[#This Row],[Per Day Salary]]*Table134[[#This Row],[Absent]]</f>
        <v>1064.516129032258</v>
      </c>
      <c r="BE18" s="33">
        <f>Table134[[#This Row],[Salary]]-Table134[[#This Row],[Deduction ]]</f>
        <v>4435.4838709677424</v>
      </c>
    </row>
    <row r="19" spans="7:60" ht="15" customHeight="1" x14ac:dyDescent="0.35">
      <c r="G19" s="7">
        <v>12</v>
      </c>
      <c r="H19" s="27" t="s">
        <v>47</v>
      </c>
      <c r="I19" s="7">
        <v>1012</v>
      </c>
      <c r="J19" s="15">
        <f t="shared" si="5"/>
        <v>5</v>
      </c>
      <c r="K19" s="7" t="s">
        <v>36</v>
      </c>
      <c r="L19" s="7" t="s">
        <v>58</v>
      </c>
      <c r="M19" s="7" t="s">
        <v>36</v>
      </c>
      <c r="N19" s="7" t="s">
        <v>36</v>
      </c>
      <c r="O19" s="7" t="s">
        <v>36</v>
      </c>
      <c r="P19" s="20" t="s">
        <v>36</v>
      </c>
      <c r="Q19" s="20" t="s">
        <v>56</v>
      </c>
      <c r="R19" s="20" t="s">
        <v>56</v>
      </c>
      <c r="S19" s="20" t="s">
        <v>58</v>
      </c>
      <c r="T19" s="7" t="s">
        <v>57</v>
      </c>
      <c r="U19" s="7" t="s">
        <v>36</v>
      </c>
      <c r="V19" s="7" t="s">
        <v>36</v>
      </c>
      <c r="W19" s="7" t="s">
        <v>36</v>
      </c>
      <c r="X19" s="7" t="s">
        <v>56</v>
      </c>
      <c r="Y19" s="7" t="s">
        <v>56</v>
      </c>
      <c r="Z19" s="7" t="s">
        <v>58</v>
      </c>
      <c r="AA19" s="7" t="s">
        <v>36</v>
      </c>
      <c r="AB19" s="7" t="s">
        <v>36</v>
      </c>
      <c r="AC19" s="7" t="s">
        <v>36</v>
      </c>
      <c r="AD19" s="7" t="s">
        <v>57</v>
      </c>
      <c r="AE19" s="7" t="s">
        <v>36</v>
      </c>
      <c r="AF19" s="7" t="s">
        <v>36</v>
      </c>
      <c r="AG19" s="7" t="s">
        <v>58</v>
      </c>
      <c r="AH19" s="7" t="s">
        <v>36</v>
      </c>
      <c r="AI19" s="7" t="s">
        <v>36</v>
      </c>
      <c r="AJ19" s="7" t="s">
        <v>36</v>
      </c>
      <c r="AK19" s="7" t="s">
        <v>36</v>
      </c>
      <c r="AL19" s="7" t="s">
        <v>36</v>
      </c>
      <c r="AM19" s="7" t="s">
        <v>56</v>
      </c>
      <c r="AN19" s="7" t="s">
        <v>58</v>
      </c>
      <c r="AO19" s="7" t="s">
        <v>57</v>
      </c>
      <c r="AR19" s="7">
        <v>12</v>
      </c>
      <c r="AS19" s="7" t="s">
        <v>47</v>
      </c>
      <c r="AT19" s="7" t="s">
        <v>64</v>
      </c>
      <c r="AU19" s="7">
        <v>1012</v>
      </c>
      <c r="AV19" s="30">
        <f t="shared" si="2"/>
        <v>18</v>
      </c>
      <c r="AW19" s="30">
        <f t="shared" si="7"/>
        <v>5</v>
      </c>
      <c r="AX19" s="30">
        <f t="shared" si="3"/>
        <v>3</v>
      </c>
      <c r="AY19" s="31">
        <f t="shared" si="4"/>
        <v>5</v>
      </c>
      <c r="AZ19" s="31">
        <f t="shared" si="6"/>
        <v>31</v>
      </c>
      <c r="BA19" s="32">
        <f>Table134[[#This Row],[Days]]-Table134[[#This Row],[Absent]]</f>
        <v>26</v>
      </c>
      <c r="BB19" s="33">
        <v>5600</v>
      </c>
      <c r="BC19" s="36">
        <f>Table134[[#This Row],[Salary]]/Table134[[#This Row],[Days]]</f>
        <v>180.64516129032259</v>
      </c>
      <c r="BD19" s="34">
        <f>Table134[[#This Row],[Per Day Salary]]*Table134[[#This Row],[Absent]]</f>
        <v>903.22580645161293</v>
      </c>
      <c r="BE19" s="33">
        <f>Table134[[#This Row],[Salary]]-Table134[[#This Row],[Deduction ]]</f>
        <v>4696.7741935483873</v>
      </c>
    </row>
    <row r="20" spans="7:60" ht="15" customHeight="1" x14ac:dyDescent="0.35">
      <c r="G20" s="7">
        <v>13</v>
      </c>
      <c r="H20" s="27" t="s">
        <v>48</v>
      </c>
      <c r="I20" s="7">
        <v>1013</v>
      </c>
      <c r="J20" s="15">
        <f t="shared" si="5"/>
        <v>5</v>
      </c>
      <c r="K20" s="7" t="s">
        <v>36</v>
      </c>
      <c r="L20" s="7" t="s">
        <v>58</v>
      </c>
      <c r="M20" s="7" t="s">
        <v>36</v>
      </c>
      <c r="N20" s="7" t="s">
        <v>36</v>
      </c>
      <c r="O20" s="7" t="s">
        <v>36</v>
      </c>
      <c r="P20" s="20" t="s">
        <v>36</v>
      </c>
      <c r="Q20" s="20" t="s">
        <v>56</v>
      </c>
      <c r="R20" s="20" t="s">
        <v>56</v>
      </c>
      <c r="S20" s="20" t="s">
        <v>58</v>
      </c>
      <c r="T20" s="7" t="s">
        <v>57</v>
      </c>
      <c r="U20" s="7" t="s">
        <v>36</v>
      </c>
      <c r="V20" s="7" t="s">
        <v>36</v>
      </c>
      <c r="W20" s="7" t="s">
        <v>36</v>
      </c>
      <c r="X20" s="7" t="s">
        <v>56</v>
      </c>
      <c r="Y20" s="7" t="s">
        <v>56</v>
      </c>
      <c r="Z20" s="7" t="s">
        <v>58</v>
      </c>
      <c r="AA20" s="7" t="s">
        <v>36</v>
      </c>
      <c r="AB20" s="7" t="s">
        <v>36</v>
      </c>
      <c r="AC20" s="7" t="s">
        <v>36</v>
      </c>
      <c r="AD20" s="7" t="s">
        <v>57</v>
      </c>
      <c r="AE20" s="7" t="s">
        <v>36</v>
      </c>
      <c r="AF20" s="7" t="s">
        <v>36</v>
      </c>
      <c r="AG20" s="7" t="s">
        <v>58</v>
      </c>
      <c r="AH20" s="7" t="s">
        <v>36</v>
      </c>
      <c r="AI20" s="7" t="s">
        <v>36</v>
      </c>
      <c r="AJ20" s="7" t="s">
        <v>36</v>
      </c>
      <c r="AK20" s="7" t="s">
        <v>36</v>
      </c>
      <c r="AL20" s="7" t="s">
        <v>36</v>
      </c>
      <c r="AM20" s="7" t="s">
        <v>56</v>
      </c>
      <c r="AN20" s="7" t="s">
        <v>58</v>
      </c>
      <c r="AO20" s="7" t="s">
        <v>57</v>
      </c>
      <c r="AR20" s="7">
        <v>13</v>
      </c>
      <c r="AS20" s="7" t="s">
        <v>48</v>
      </c>
      <c r="AT20" s="7" t="s">
        <v>64</v>
      </c>
      <c r="AU20" s="7">
        <v>1013</v>
      </c>
      <c r="AV20" s="30">
        <f t="shared" si="2"/>
        <v>18</v>
      </c>
      <c r="AW20" s="30">
        <f t="shared" si="7"/>
        <v>5</v>
      </c>
      <c r="AX20" s="30">
        <f t="shared" si="3"/>
        <v>3</v>
      </c>
      <c r="AY20" s="31">
        <f t="shared" si="4"/>
        <v>5</v>
      </c>
      <c r="AZ20" s="31">
        <f t="shared" si="6"/>
        <v>31</v>
      </c>
      <c r="BA20" s="32">
        <f>Table134[[#This Row],[Days]]-Table134[[#This Row],[Absent]]</f>
        <v>26</v>
      </c>
      <c r="BB20" s="33">
        <v>5700</v>
      </c>
      <c r="BC20" s="36">
        <f>Table134[[#This Row],[Salary]]/Table134[[#This Row],[Days]]</f>
        <v>183.87096774193549</v>
      </c>
      <c r="BD20" s="34">
        <f>Table134[[#This Row],[Per Day Salary]]*Table134[[#This Row],[Absent]]</f>
        <v>919.35483870967744</v>
      </c>
      <c r="BE20" s="33">
        <f>Table134[[#This Row],[Salary]]-Table134[[#This Row],[Deduction ]]</f>
        <v>4780.6451612903229</v>
      </c>
    </row>
    <row r="21" spans="7:60" ht="15" customHeight="1" x14ac:dyDescent="0.35">
      <c r="G21" s="7">
        <v>14</v>
      </c>
      <c r="H21" s="27" t="s">
        <v>49</v>
      </c>
      <c r="I21" s="7">
        <v>1014</v>
      </c>
      <c r="J21" s="15">
        <f t="shared" si="5"/>
        <v>5</v>
      </c>
      <c r="K21" s="7" t="s">
        <v>36</v>
      </c>
      <c r="L21" s="7" t="s">
        <v>58</v>
      </c>
      <c r="M21" s="7" t="s">
        <v>36</v>
      </c>
      <c r="N21" s="7" t="s">
        <v>36</v>
      </c>
      <c r="O21" s="7" t="s">
        <v>36</v>
      </c>
      <c r="P21" s="20" t="s">
        <v>36</v>
      </c>
      <c r="Q21" s="20" t="s">
        <v>56</v>
      </c>
      <c r="R21" s="20" t="s">
        <v>56</v>
      </c>
      <c r="S21" s="20" t="s">
        <v>58</v>
      </c>
      <c r="T21" s="7" t="s">
        <v>57</v>
      </c>
      <c r="U21" s="7" t="s">
        <v>36</v>
      </c>
      <c r="V21" s="7" t="s">
        <v>36</v>
      </c>
      <c r="W21" s="7" t="s">
        <v>36</v>
      </c>
      <c r="X21" s="7" t="s">
        <v>56</v>
      </c>
      <c r="Y21" s="7" t="s">
        <v>56</v>
      </c>
      <c r="Z21" s="7" t="s">
        <v>58</v>
      </c>
      <c r="AA21" s="7" t="s">
        <v>36</v>
      </c>
      <c r="AB21" s="7" t="s">
        <v>36</v>
      </c>
      <c r="AC21" s="7" t="s">
        <v>36</v>
      </c>
      <c r="AD21" s="7" t="s">
        <v>57</v>
      </c>
      <c r="AE21" s="7" t="s">
        <v>36</v>
      </c>
      <c r="AF21" s="7" t="s">
        <v>36</v>
      </c>
      <c r="AG21" s="7" t="s">
        <v>58</v>
      </c>
      <c r="AH21" s="7" t="s">
        <v>36</v>
      </c>
      <c r="AI21" s="7" t="s">
        <v>36</v>
      </c>
      <c r="AJ21" s="7" t="s">
        <v>36</v>
      </c>
      <c r="AK21" s="7" t="s">
        <v>36</v>
      </c>
      <c r="AL21" s="7" t="s">
        <v>36</v>
      </c>
      <c r="AM21" s="7" t="s">
        <v>56</v>
      </c>
      <c r="AN21" s="7" t="s">
        <v>58</v>
      </c>
      <c r="AO21" s="7" t="s">
        <v>57</v>
      </c>
      <c r="AR21" s="7">
        <v>14</v>
      </c>
      <c r="AS21" s="7" t="s">
        <v>49</v>
      </c>
      <c r="AT21" s="7" t="s">
        <v>64</v>
      </c>
      <c r="AU21" s="7">
        <v>1014</v>
      </c>
      <c r="AV21" s="30">
        <f t="shared" si="2"/>
        <v>18</v>
      </c>
      <c r="AW21" s="30">
        <f t="shared" si="7"/>
        <v>5</v>
      </c>
      <c r="AX21" s="30">
        <f t="shared" si="3"/>
        <v>3</v>
      </c>
      <c r="AY21" s="31">
        <f t="shared" si="4"/>
        <v>5</v>
      </c>
      <c r="AZ21" s="31">
        <f t="shared" si="6"/>
        <v>31</v>
      </c>
      <c r="BA21" s="32">
        <f>Table134[[#This Row],[Days]]-Table134[[#This Row],[Absent]]</f>
        <v>26</v>
      </c>
      <c r="BB21" s="33">
        <v>5800</v>
      </c>
      <c r="BC21" s="36">
        <f>Table134[[#This Row],[Salary]]/Table134[[#This Row],[Days]]</f>
        <v>187.09677419354838</v>
      </c>
      <c r="BD21" s="34">
        <f>Table134[[#This Row],[Per Day Salary]]*Table134[[#This Row],[Absent]]</f>
        <v>935.48387096774195</v>
      </c>
      <c r="BE21" s="33">
        <f>Table134[[#This Row],[Salary]]-Table134[[#This Row],[Deduction ]]</f>
        <v>4864.5161290322576</v>
      </c>
    </row>
    <row r="22" spans="7:60" ht="15" customHeight="1" x14ac:dyDescent="0.35">
      <c r="G22" s="7">
        <v>15</v>
      </c>
      <c r="H22" s="27" t="s">
        <v>50</v>
      </c>
      <c r="I22" s="7">
        <v>1015</v>
      </c>
      <c r="J22" s="15">
        <f t="shared" si="5"/>
        <v>5</v>
      </c>
      <c r="K22" s="7" t="s">
        <v>36</v>
      </c>
      <c r="L22" s="7" t="s">
        <v>58</v>
      </c>
      <c r="M22" s="7" t="s">
        <v>36</v>
      </c>
      <c r="N22" s="7" t="s">
        <v>36</v>
      </c>
      <c r="O22" s="7" t="s">
        <v>36</v>
      </c>
      <c r="P22" s="20" t="s">
        <v>36</v>
      </c>
      <c r="Q22" s="20" t="s">
        <v>56</v>
      </c>
      <c r="R22" s="20" t="s">
        <v>56</v>
      </c>
      <c r="S22" s="20" t="s">
        <v>58</v>
      </c>
      <c r="T22" s="7" t="s">
        <v>57</v>
      </c>
      <c r="U22" s="7" t="s">
        <v>36</v>
      </c>
      <c r="V22" s="7" t="s">
        <v>36</v>
      </c>
      <c r="W22" s="7" t="s">
        <v>36</v>
      </c>
      <c r="X22" s="7" t="s">
        <v>56</v>
      </c>
      <c r="Y22" s="7" t="s">
        <v>56</v>
      </c>
      <c r="Z22" s="7" t="s">
        <v>58</v>
      </c>
      <c r="AA22" s="7" t="s">
        <v>36</v>
      </c>
      <c r="AB22" s="7" t="s">
        <v>36</v>
      </c>
      <c r="AC22" s="7" t="s">
        <v>36</v>
      </c>
      <c r="AD22" s="7" t="s">
        <v>57</v>
      </c>
      <c r="AE22" s="7" t="s">
        <v>36</v>
      </c>
      <c r="AF22" s="7" t="s">
        <v>36</v>
      </c>
      <c r="AG22" s="7" t="s">
        <v>58</v>
      </c>
      <c r="AH22" s="7" t="s">
        <v>36</v>
      </c>
      <c r="AI22" s="7" t="s">
        <v>36</v>
      </c>
      <c r="AJ22" s="7" t="s">
        <v>36</v>
      </c>
      <c r="AK22" s="7" t="s">
        <v>36</v>
      </c>
      <c r="AL22" s="7" t="s">
        <v>36</v>
      </c>
      <c r="AM22" s="7" t="s">
        <v>56</v>
      </c>
      <c r="AN22" s="7" t="s">
        <v>58</v>
      </c>
      <c r="AO22" s="7" t="s">
        <v>57</v>
      </c>
      <c r="AR22" s="7">
        <v>15</v>
      </c>
      <c r="AS22" s="7" t="s">
        <v>50</v>
      </c>
      <c r="AT22" s="7" t="s">
        <v>64</v>
      </c>
      <c r="AU22" s="7">
        <v>1015</v>
      </c>
      <c r="AV22" s="30">
        <f t="shared" si="2"/>
        <v>18</v>
      </c>
      <c r="AW22" s="30">
        <f t="shared" si="7"/>
        <v>5</v>
      </c>
      <c r="AX22" s="30">
        <f t="shared" si="3"/>
        <v>3</v>
      </c>
      <c r="AY22" s="31">
        <f t="shared" si="4"/>
        <v>5</v>
      </c>
      <c r="AZ22" s="31">
        <f t="shared" si="6"/>
        <v>31</v>
      </c>
      <c r="BA22" s="32">
        <f>Table134[[#This Row],[Days]]-Table134[[#This Row],[Absent]]</f>
        <v>26</v>
      </c>
      <c r="BB22" s="33">
        <v>5900</v>
      </c>
      <c r="BC22" s="36">
        <f>Table134[[#This Row],[Salary]]/Table134[[#This Row],[Days]]</f>
        <v>190.32258064516128</v>
      </c>
      <c r="BD22" s="34">
        <f>Table134[[#This Row],[Per Day Salary]]*Table134[[#This Row],[Absent]]</f>
        <v>951.61290322580635</v>
      </c>
      <c r="BE22" s="33">
        <f>Table134[[#This Row],[Salary]]-Table134[[#This Row],[Deduction ]]</f>
        <v>4948.3870967741932</v>
      </c>
    </row>
    <row r="23" spans="7:60" ht="15" customHeight="1" x14ac:dyDescent="0.35">
      <c r="G23" s="7">
        <v>16</v>
      </c>
      <c r="H23" s="27" t="s">
        <v>51</v>
      </c>
      <c r="I23" s="7">
        <v>1016</v>
      </c>
      <c r="J23" s="15">
        <f t="shared" si="5"/>
        <v>5</v>
      </c>
      <c r="K23" s="7" t="s">
        <v>36</v>
      </c>
      <c r="L23" s="7" t="s">
        <v>58</v>
      </c>
      <c r="M23" s="7" t="s">
        <v>36</v>
      </c>
      <c r="N23" s="7" t="s">
        <v>36</v>
      </c>
      <c r="O23" s="7" t="s">
        <v>36</v>
      </c>
      <c r="P23" s="20" t="s">
        <v>36</v>
      </c>
      <c r="Q23" s="20" t="s">
        <v>56</v>
      </c>
      <c r="R23" s="20" t="s">
        <v>56</v>
      </c>
      <c r="S23" s="20" t="s">
        <v>58</v>
      </c>
      <c r="T23" s="7" t="s">
        <v>57</v>
      </c>
      <c r="U23" s="7" t="s">
        <v>36</v>
      </c>
      <c r="V23" s="7" t="s">
        <v>36</v>
      </c>
      <c r="W23" s="7" t="s">
        <v>36</v>
      </c>
      <c r="X23" s="7" t="s">
        <v>56</v>
      </c>
      <c r="Y23" s="7" t="s">
        <v>56</v>
      </c>
      <c r="Z23" s="7" t="s">
        <v>58</v>
      </c>
      <c r="AA23" s="7" t="s">
        <v>36</v>
      </c>
      <c r="AB23" s="7" t="s">
        <v>36</v>
      </c>
      <c r="AC23" s="7" t="s">
        <v>36</v>
      </c>
      <c r="AD23" s="7" t="s">
        <v>57</v>
      </c>
      <c r="AE23" s="7" t="s">
        <v>36</v>
      </c>
      <c r="AF23" s="7" t="s">
        <v>36</v>
      </c>
      <c r="AG23" s="7" t="s">
        <v>58</v>
      </c>
      <c r="AH23" s="7" t="s">
        <v>36</v>
      </c>
      <c r="AI23" s="7" t="s">
        <v>36</v>
      </c>
      <c r="AJ23" s="7" t="s">
        <v>36</v>
      </c>
      <c r="AK23" s="7" t="s">
        <v>36</v>
      </c>
      <c r="AL23" s="7" t="s">
        <v>36</v>
      </c>
      <c r="AM23" s="7" t="s">
        <v>56</v>
      </c>
      <c r="AN23" s="7" t="s">
        <v>58</v>
      </c>
      <c r="AO23" s="7" t="s">
        <v>57</v>
      </c>
      <c r="AR23" s="7">
        <v>16</v>
      </c>
      <c r="AS23" s="7" t="s">
        <v>51</v>
      </c>
      <c r="AT23" s="7" t="s">
        <v>64</v>
      </c>
      <c r="AU23" s="7">
        <v>1016</v>
      </c>
      <c r="AV23" s="30">
        <f t="shared" si="2"/>
        <v>18</v>
      </c>
      <c r="AW23" s="30">
        <f t="shared" si="7"/>
        <v>5</v>
      </c>
      <c r="AX23" s="30">
        <f t="shared" si="3"/>
        <v>3</v>
      </c>
      <c r="AY23" s="31">
        <f t="shared" si="4"/>
        <v>5</v>
      </c>
      <c r="AZ23" s="31">
        <f t="shared" si="6"/>
        <v>31</v>
      </c>
      <c r="BA23" s="32">
        <f>Table134[[#This Row],[Days]]-Table134[[#This Row],[Absent]]</f>
        <v>26</v>
      </c>
      <c r="BB23" s="33">
        <v>6000</v>
      </c>
      <c r="BC23" s="36">
        <f>Table134[[#This Row],[Salary]]/Table134[[#This Row],[Days]]</f>
        <v>193.54838709677421</v>
      </c>
      <c r="BD23" s="34">
        <f>Table134[[#This Row],[Per Day Salary]]*Table134[[#This Row],[Absent]]</f>
        <v>967.74193548387098</v>
      </c>
      <c r="BE23" s="33">
        <f>Table134[[#This Row],[Salary]]-Table134[[#This Row],[Deduction ]]</f>
        <v>5032.2580645161288</v>
      </c>
    </row>
    <row r="24" spans="7:60" ht="15" customHeight="1" x14ac:dyDescent="0.35">
      <c r="G24" s="7">
        <v>17</v>
      </c>
      <c r="H24" s="27" t="s">
        <v>52</v>
      </c>
      <c r="I24" s="7">
        <v>1017</v>
      </c>
      <c r="J24" s="15">
        <f t="shared" si="5"/>
        <v>5</v>
      </c>
      <c r="K24" s="7" t="s">
        <v>36</v>
      </c>
      <c r="L24" s="7" t="s">
        <v>58</v>
      </c>
      <c r="M24" s="7" t="s">
        <v>36</v>
      </c>
      <c r="N24" s="7" t="s">
        <v>36</v>
      </c>
      <c r="O24" s="7" t="s">
        <v>36</v>
      </c>
      <c r="P24" s="20" t="s">
        <v>36</v>
      </c>
      <c r="Q24" s="20" t="s">
        <v>56</v>
      </c>
      <c r="R24" s="20" t="s">
        <v>56</v>
      </c>
      <c r="S24" s="20" t="s">
        <v>58</v>
      </c>
      <c r="T24" s="7" t="s">
        <v>57</v>
      </c>
      <c r="U24" s="7" t="s">
        <v>36</v>
      </c>
      <c r="V24" s="7" t="s">
        <v>36</v>
      </c>
      <c r="W24" s="7" t="s">
        <v>36</v>
      </c>
      <c r="X24" s="7" t="s">
        <v>56</v>
      </c>
      <c r="Y24" s="7" t="s">
        <v>56</v>
      </c>
      <c r="Z24" s="7" t="s">
        <v>58</v>
      </c>
      <c r="AA24" s="7" t="s">
        <v>36</v>
      </c>
      <c r="AB24" s="7" t="s">
        <v>36</v>
      </c>
      <c r="AC24" s="7" t="s">
        <v>36</v>
      </c>
      <c r="AD24" s="7" t="s">
        <v>57</v>
      </c>
      <c r="AE24" s="7" t="s">
        <v>36</v>
      </c>
      <c r="AF24" s="7" t="s">
        <v>36</v>
      </c>
      <c r="AG24" s="7" t="s">
        <v>58</v>
      </c>
      <c r="AH24" s="7" t="s">
        <v>36</v>
      </c>
      <c r="AI24" s="7" t="s">
        <v>36</v>
      </c>
      <c r="AJ24" s="7" t="s">
        <v>36</v>
      </c>
      <c r="AK24" s="7" t="s">
        <v>36</v>
      </c>
      <c r="AL24" s="7" t="s">
        <v>36</v>
      </c>
      <c r="AM24" s="7" t="s">
        <v>56</v>
      </c>
      <c r="AN24" s="7" t="s">
        <v>58</v>
      </c>
      <c r="AO24" s="7" t="s">
        <v>57</v>
      </c>
      <c r="AR24" s="7">
        <v>17</v>
      </c>
      <c r="AS24" s="7" t="s">
        <v>52</v>
      </c>
      <c r="AT24" s="7" t="s">
        <v>64</v>
      </c>
      <c r="AU24" s="7">
        <v>1017</v>
      </c>
      <c r="AV24" s="30">
        <f t="shared" si="2"/>
        <v>18</v>
      </c>
      <c r="AW24" s="30">
        <f t="shared" si="7"/>
        <v>5</v>
      </c>
      <c r="AX24" s="30">
        <f t="shared" si="3"/>
        <v>3</v>
      </c>
      <c r="AY24" s="31">
        <f t="shared" si="4"/>
        <v>5</v>
      </c>
      <c r="AZ24" s="31">
        <f t="shared" si="6"/>
        <v>31</v>
      </c>
      <c r="BA24" s="1">
        <f>Table134[[#This Row],[Days]]-Table134[[#This Row],[Absent]]</f>
        <v>26</v>
      </c>
      <c r="BB24" s="33">
        <v>6100</v>
      </c>
      <c r="BC24" s="36">
        <f>Table134[[#This Row],[Salary]]/Table134[[#This Row],[Days]]</f>
        <v>196.7741935483871</v>
      </c>
      <c r="BD24" s="34">
        <f>Table134[[#This Row],[Per Day Salary]]*Table134[[#This Row],[Absent]]</f>
        <v>983.87096774193549</v>
      </c>
      <c r="BE24" s="33">
        <f>Table134[[#This Row],[Salary]]-Table134[[#This Row],[Deduction ]]</f>
        <v>5116.1290322580644</v>
      </c>
    </row>
    <row r="25" spans="7:60" ht="15" customHeight="1" x14ac:dyDescent="0.35">
      <c r="G25" s="7">
        <v>18</v>
      </c>
      <c r="H25" s="27" t="s">
        <v>53</v>
      </c>
      <c r="I25" s="7">
        <v>1018</v>
      </c>
      <c r="J25" s="15">
        <f t="shared" si="5"/>
        <v>5</v>
      </c>
      <c r="K25" s="7" t="s">
        <v>36</v>
      </c>
      <c r="L25" s="7" t="s">
        <v>58</v>
      </c>
      <c r="M25" s="7" t="s">
        <v>36</v>
      </c>
      <c r="N25" s="7" t="s">
        <v>36</v>
      </c>
      <c r="O25" s="7" t="s">
        <v>36</v>
      </c>
      <c r="P25" s="20" t="s">
        <v>36</v>
      </c>
      <c r="Q25" s="20" t="s">
        <v>56</v>
      </c>
      <c r="R25" s="20" t="s">
        <v>56</v>
      </c>
      <c r="S25" s="20" t="s">
        <v>58</v>
      </c>
      <c r="T25" s="7" t="s">
        <v>57</v>
      </c>
      <c r="U25" s="7" t="s">
        <v>36</v>
      </c>
      <c r="V25" s="7" t="s">
        <v>36</v>
      </c>
      <c r="W25" s="7" t="s">
        <v>36</v>
      </c>
      <c r="X25" s="7" t="s">
        <v>56</v>
      </c>
      <c r="Y25" s="7" t="s">
        <v>56</v>
      </c>
      <c r="Z25" s="7" t="s">
        <v>58</v>
      </c>
      <c r="AA25" s="7" t="s">
        <v>36</v>
      </c>
      <c r="AB25" s="7" t="s">
        <v>36</v>
      </c>
      <c r="AC25" s="7" t="s">
        <v>36</v>
      </c>
      <c r="AD25" s="7" t="s">
        <v>57</v>
      </c>
      <c r="AE25" s="7" t="s">
        <v>36</v>
      </c>
      <c r="AF25" s="7" t="s">
        <v>36</v>
      </c>
      <c r="AG25" s="7" t="s">
        <v>58</v>
      </c>
      <c r="AH25" s="7" t="s">
        <v>36</v>
      </c>
      <c r="AI25" s="7" t="s">
        <v>36</v>
      </c>
      <c r="AJ25" s="7" t="s">
        <v>36</v>
      </c>
      <c r="AK25" s="7" t="s">
        <v>36</v>
      </c>
      <c r="AL25" s="7" t="s">
        <v>36</v>
      </c>
      <c r="AM25" s="7" t="s">
        <v>56</v>
      </c>
      <c r="AN25" s="7" t="s">
        <v>58</v>
      </c>
      <c r="AO25" s="7" t="s">
        <v>57</v>
      </c>
      <c r="AR25" s="7">
        <v>18</v>
      </c>
      <c r="AS25" s="7" t="s">
        <v>53</v>
      </c>
      <c r="AT25" s="7" t="s">
        <v>64</v>
      </c>
      <c r="AU25" s="7">
        <v>1018</v>
      </c>
      <c r="AV25" s="30">
        <f t="shared" si="2"/>
        <v>18</v>
      </c>
      <c r="AW25" s="30">
        <f t="shared" si="7"/>
        <v>5</v>
      </c>
      <c r="AX25" s="30">
        <f t="shared" si="3"/>
        <v>3</v>
      </c>
      <c r="AY25" s="31">
        <f t="shared" si="4"/>
        <v>5</v>
      </c>
      <c r="AZ25" s="31">
        <f t="shared" si="6"/>
        <v>31</v>
      </c>
      <c r="BA25" s="32">
        <f>Table134[[#This Row],[Days]]-Table134[[#This Row],[Absent]]</f>
        <v>26</v>
      </c>
      <c r="BB25" s="33">
        <v>6200</v>
      </c>
      <c r="BC25" s="36">
        <f>Table134[[#This Row],[Salary]]/Table134[[#This Row],[Days]]</f>
        <v>200</v>
      </c>
      <c r="BD25" s="34">
        <f>Table134[[#This Row],[Per Day Salary]]*Table134[[#This Row],[Absent]]</f>
        <v>1000</v>
      </c>
      <c r="BE25" s="33">
        <f>Table134[[#This Row],[Salary]]-Table134[[#This Row],[Deduction ]]</f>
        <v>5200</v>
      </c>
    </row>
    <row r="26" spans="7:60" ht="15" customHeight="1" x14ac:dyDescent="0.35">
      <c r="G26" s="7">
        <v>19</v>
      </c>
      <c r="H26" s="27" t="s">
        <v>54</v>
      </c>
      <c r="I26" s="7">
        <v>1019</v>
      </c>
      <c r="J26" s="15">
        <f t="shared" si="5"/>
        <v>5</v>
      </c>
      <c r="K26" s="7" t="s">
        <v>36</v>
      </c>
      <c r="L26" s="7" t="s">
        <v>58</v>
      </c>
      <c r="M26" s="7" t="s">
        <v>36</v>
      </c>
      <c r="N26" s="7" t="s">
        <v>36</v>
      </c>
      <c r="O26" s="7" t="s">
        <v>36</v>
      </c>
      <c r="P26" s="20" t="s">
        <v>36</v>
      </c>
      <c r="Q26" s="20" t="s">
        <v>56</v>
      </c>
      <c r="R26" s="20" t="s">
        <v>56</v>
      </c>
      <c r="S26" s="20" t="s">
        <v>58</v>
      </c>
      <c r="T26" s="7" t="s">
        <v>57</v>
      </c>
      <c r="U26" s="7" t="s">
        <v>36</v>
      </c>
      <c r="V26" s="7" t="s">
        <v>36</v>
      </c>
      <c r="W26" s="7" t="s">
        <v>36</v>
      </c>
      <c r="X26" s="7" t="s">
        <v>56</v>
      </c>
      <c r="Y26" s="7" t="s">
        <v>56</v>
      </c>
      <c r="Z26" s="7" t="s">
        <v>58</v>
      </c>
      <c r="AA26" s="7" t="s">
        <v>36</v>
      </c>
      <c r="AB26" s="7" t="s">
        <v>36</v>
      </c>
      <c r="AC26" s="7" t="s">
        <v>36</v>
      </c>
      <c r="AD26" s="7" t="s">
        <v>57</v>
      </c>
      <c r="AE26" s="7" t="s">
        <v>36</v>
      </c>
      <c r="AF26" s="7" t="s">
        <v>36</v>
      </c>
      <c r="AG26" s="7" t="s">
        <v>58</v>
      </c>
      <c r="AH26" s="7" t="s">
        <v>36</v>
      </c>
      <c r="AI26" s="7" t="s">
        <v>36</v>
      </c>
      <c r="AJ26" s="7" t="s">
        <v>36</v>
      </c>
      <c r="AK26" s="7" t="s">
        <v>36</v>
      </c>
      <c r="AL26" s="7" t="s">
        <v>36</v>
      </c>
      <c r="AM26" s="7" t="s">
        <v>56</v>
      </c>
      <c r="AN26" s="7" t="s">
        <v>58</v>
      </c>
      <c r="AO26" s="7" t="s">
        <v>57</v>
      </c>
      <c r="AR26" s="7">
        <v>19</v>
      </c>
      <c r="AS26" s="7" t="s">
        <v>54</v>
      </c>
      <c r="AT26" s="7" t="s">
        <v>64</v>
      </c>
      <c r="AU26" s="7">
        <v>1019</v>
      </c>
      <c r="AV26" s="30">
        <f t="shared" si="2"/>
        <v>18</v>
      </c>
      <c r="AW26" s="30">
        <f t="shared" si="7"/>
        <v>5</v>
      </c>
      <c r="AX26" s="30">
        <f t="shared" si="3"/>
        <v>3</v>
      </c>
      <c r="AY26" s="31">
        <f t="shared" si="4"/>
        <v>5</v>
      </c>
      <c r="AZ26" s="31">
        <f t="shared" si="6"/>
        <v>31</v>
      </c>
      <c r="BA26" s="1">
        <f>Table134[[#This Row],[Days]]-Table134[[#This Row],[Absent]]</f>
        <v>26</v>
      </c>
      <c r="BB26" s="33">
        <v>6300</v>
      </c>
      <c r="BC26" s="36">
        <f>Table134[[#This Row],[Salary]]/Table134[[#This Row],[Days]]</f>
        <v>203.2258064516129</v>
      </c>
      <c r="BD26" s="34">
        <f>Table134[[#This Row],[Per Day Salary]]*Table134[[#This Row],[Absent]]</f>
        <v>1016.1290322580645</v>
      </c>
      <c r="BE26" s="33">
        <f>Table134[[#This Row],[Salary]]-Table134[[#This Row],[Deduction ]]</f>
        <v>5283.8709677419356</v>
      </c>
    </row>
    <row r="27" spans="7:60" ht="15" customHeight="1" x14ac:dyDescent="0.35">
      <c r="G27" s="7">
        <v>20</v>
      </c>
      <c r="H27" s="27" t="s">
        <v>55</v>
      </c>
      <c r="I27" s="7">
        <v>1020</v>
      </c>
      <c r="J27" s="15">
        <f t="shared" si="5"/>
        <v>5</v>
      </c>
      <c r="K27" s="7" t="s">
        <v>36</v>
      </c>
      <c r="L27" s="7" t="s">
        <v>58</v>
      </c>
      <c r="M27" s="7" t="s">
        <v>36</v>
      </c>
      <c r="N27" s="7" t="s">
        <v>36</v>
      </c>
      <c r="O27" s="7" t="s">
        <v>36</v>
      </c>
      <c r="P27" s="20" t="s">
        <v>36</v>
      </c>
      <c r="Q27" s="20" t="s">
        <v>56</v>
      </c>
      <c r="R27" s="20" t="s">
        <v>56</v>
      </c>
      <c r="S27" s="20" t="s">
        <v>58</v>
      </c>
      <c r="T27" s="7" t="s">
        <v>57</v>
      </c>
      <c r="U27" s="7" t="s">
        <v>36</v>
      </c>
      <c r="V27" s="7" t="s">
        <v>36</v>
      </c>
      <c r="W27" s="7" t="s">
        <v>36</v>
      </c>
      <c r="X27" s="7" t="s">
        <v>56</v>
      </c>
      <c r="Y27" s="7" t="s">
        <v>56</v>
      </c>
      <c r="Z27" s="7" t="s">
        <v>58</v>
      </c>
      <c r="AA27" s="7" t="s">
        <v>36</v>
      </c>
      <c r="AB27" s="7" t="s">
        <v>36</v>
      </c>
      <c r="AC27" s="7" t="s">
        <v>36</v>
      </c>
      <c r="AD27" s="7" t="s">
        <v>57</v>
      </c>
      <c r="AE27" s="7" t="s">
        <v>36</v>
      </c>
      <c r="AF27" s="7" t="s">
        <v>36</v>
      </c>
      <c r="AG27" s="7" t="s">
        <v>58</v>
      </c>
      <c r="AH27" s="7" t="s">
        <v>36</v>
      </c>
      <c r="AI27" s="7" t="s">
        <v>36</v>
      </c>
      <c r="AJ27" s="7" t="s">
        <v>36</v>
      </c>
      <c r="AK27" s="7" t="s">
        <v>36</v>
      </c>
      <c r="AL27" s="7" t="s">
        <v>36</v>
      </c>
      <c r="AM27" s="7" t="s">
        <v>56</v>
      </c>
      <c r="AN27" s="7" t="s">
        <v>58</v>
      </c>
      <c r="AO27" s="7" t="s">
        <v>57</v>
      </c>
      <c r="AR27" s="7">
        <v>20</v>
      </c>
      <c r="AS27" s="7" t="s">
        <v>55</v>
      </c>
      <c r="AT27" s="7" t="s">
        <v>64</v>
      </c>
      <c r="AU27" s="7">
        <v>1020</v>
      </c>
      <c r="AV27" s="30">
        <f t="shared" si="2"/>
        <v>18</v>
      </c>
      <c r="AW27" s="30">
        <f t="shared" si="7"/>
        <v>5</v>
      </c>
      <c r="AX27" s="30">
        <f t="shared" si="3"/>
        <v>3</v>
      </c>
      <c r="AY27" s="31">
        <f t="shared" si="4"/>
        <v>5</v>
      </c>
      <c r="AZ27" s="31">
        <f t="shared" si="6"/>
        <v>31</v>
      </c>
      <c r="BA27" s="32">
        <f>Table134[[#This Row],[Days]]-Table134[[#This Row],[Absent]]</f>
        <v>26</v>
      </c>
      <c r="BB27" s="33">
        <v>6400</v>
      </c>
      <c r="BC27" s="36">
        <f>Table134[[#This Row],[Salary]]/Table134[[#This Row],[Days]]</f>
        <v>206.45161290322579</v>
      </c>
      <c r="BD27" s="34">
        <f>Table134[[#This Row],[Per Day Salary]]*Table134[[#This Row],[Absent]]</f>
        <v>1032.258064516129</v>
      </c>
      <c r="BE27" s="33">
        <f>Table134[[#This Row],[Salary]]-Table134[[#This Row],[Deduction ]]</f>
        <v>5367.7419354838712</v>
      </c>
    </row>
    <row r="28" spans="7:60" ht="15" customHeight="1" x14ac:dyDescent="0.35">
      <c r="L28" s="6"/>
      <c r="S28" s="6"/>
    </row>
    <row r="31" spans="7:60" ht="12" customHeight="1" x14ac:dyDescent="0.35"/>
  </sheetData>
  <mergeCells count="1">
    <mergeCell ref="G6:I6"/>
  </mergeCells>
  <phoneticPr fontId="2" type="noConversion"/>
  <conditionalFormatting sqref="F5">
    <cfRule type="containsText" dxfId="49" priority="4" operator="containsText" text="P">
      <formula>NOT(ISERROR(SEARCH("P",F5)))</formula>
    </cfRule>
  </conditionalFormatting>
  <conditionalFormatting sqref="K8:AO27">
    <cfRule type="containsText" dxfId="48" priority="1" operator="containsText" text="L">
      <formula>NOT(ISERROR(SEARCH("L",K8)))</formula>
    </cfRule>
    <cfRule type="containsText" dxfId="47" priority="2" operator="containsText" text="A">
      <formula>NOT(ISERROR(SEARCH("A",K8)))</formula>
    </cfRule>
    <cfRule type="containsText" dxfId="46" priority="3" operator="containsText" text="P">
      <formula>NOT(ISERROR(SEARCH("P",K8)))</formula>
    </cfRule>
    <cfRule type="containsText" dxfId="45" priority="5" operator="containsText" text="WO">
      <formula>NOT(ISERROR(SEARCH("WO",K8)))</formula>
    </cfRule>
  </conditionalFormatting>
  <dataValidations count="2">
    <dataValidation type="list" allowBlank="1" showInputMessage="1" showErrorMessage="1" sqref="K8:K27 M8:R27 T8:Y27 AA8:AF27 AH8:AM27 AO8:AO27" xr:uid="{0E623619-C1F7-4FE4-B3FE-56795E582AA8}">
      <formula1>"A,L,P"</formula1>
    </dataValidation>
    <dataValidation type="list" allowBlank="1" showInputMessage="1" showErrorMessage="1" sqref="AB5 L8:L27 S8:S27 Z8:Z27 AG8:AG27 AN8:AN27" xr:uid="{42F494E2-692B-4743-9111-B74D4FA6A14F}">
      <formula1>"A,L,P,WO"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AE8A626-8730-4199-9488-5CAA12383890}">
          <x14:formula1>
            <xm:f>Sheet1!$J$2:$J$13</xm:f>
          </x14:formula1>
          <xm:sqref>G5</xm:sqref>
        </x14:dataValidation>
        <x14:dataValidation type="list" allowBlank="1" showInputMessage="1" showErrorMessage="1" xr:uid="{F21EC3B1-A98A-43A2-95B1-59F8D80B7E3A}">
          <x14:formula1>
            <xm:f>Sheet1!$E$2:$E$13</xm:f>
          </x14:formula1>
          <xm:sqref>I5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18397-16D5-499F-97F3-C4308D8868D6}">
  <sheetPr codeName="Sheet5"/>
  <dimension ref="F4:BN29"/>
  <sheetViews>
    <sheetView showGridLines="0" zoomScale="60" zoomScaleNormal="60" workbookViewId="0">
      <selection activeCell="H13" sqref="H13"/>
    </sheetView>
  </sheetViews>
  <sheetFormatPr defaultRowHeight="14.5" x14ac:dyDescent="0.35"/>
  <cols>
    <col min="7" max="7" width="12.54296875" bestFit="1" customWidth="1"/>
    <col min="8" max="8" width="11.7265625" bestFit="1" customWidth="1"/>
    <col min="9" max="9" width="12.26953125" customWidth="1"/>
    <col min="10" max="10" width="8.453125" bestFit="1" customWidth="1"/>
    <col min="11" max="11" width="3.453125" bestFit="1" customWidth="1"/>
    <col min="12" max="12" width="3.7265625" bestFit="1" customWidth="1"/>
    <col min="13" max="13" width="5.54296875" customWidth="1"/>
    <col min="14" max="14" width="3.7265625" bestFit="1" customWidth="1"/>
    <col min="15" max="15" width="4.453125" bestFit="1" customWidth="1"/>
    <col min="16" max="16" width="3.7265625" bestFit="1" customWidth="1"/>
    <col min="17" max="17" width="2.81640625" bestFit="1" customWidth="1"/>
    <col min="18" max="18" width="3.453125" bestFit="1" customWidth="1"/>
    <col min="19" max="19" width="3.7265625" bestFit="1" customWidth="1"/>
    <col min="20" max="20" width="4.453125" bestFit="1" customWidth="1"/>
    <col min="21" max="21" width="3.7265625" bestFit="1" customWidth="1"/>
    <col min="22" max="22" width="4.453125" bestFit="1" customWidth="1"/>
    <col min="23" max="23" width="3.7265625" bestFit="1" customWidth="1"/>
    <col min="24" max="24" width="2.81640625" bestFit="1" customWidth="1"/>
    <col min="25" max="25" width="3.453125" bestFit="1" customWidth="1"/>
    <col min="26" max="26" width="3.7265625" bestFit="1" customWidth="1"/>
    <col min="27" max="27" width="4.453125" bestFit="1" customWidth="1"/>
    <col min="28" max="28" width="3.7265625" bestFit="1" customWidth="1"/>
    <col min="29" max="29" width="4.453125" bestFit="1" customWidth="1"/>
    <col min="30" max="30" width="3.7265625" bestFit="1" customWidth="1"/>
    <col min="31" max="31" width="2.81640625" bestFit="1" customWidth="1"/>
    <col min="32" max="32" width="3.453125" bestFit="1" customWidth="1"/>
    <col min="33" max="33" width="3.7265625" bestFit="1" customWidth="1"/>
    <col min="34" max="34" width="4.453125" bestFit="1" customWidth="1"/>
    <col min="35" max="35" width="3.7265625" bestFit="1" customWidth="1"/>
    <col min="36" max="36" width="4.453125" bestFit="1" customWidth="1"/>
    <col min="37" max="37" width="3.7265625" bestFit="1" customWidth="1"/>
    <col min="38" max="38" width="2.81640625" bestFit="1" customWidth="1"/>
    <col min="39" max="39" width="3.453125" bestFit="1" customWidth="1"/>
    <col min="40" max="40" width="4.1796875" bestFit="1" customWidth="1"/>
    <col min="41" max="41" width="5.08984375" customWidth="1"/>
    <col min="45" max="46" width="10.453125" customWidth="1"/>
    <col min="47" max="47" width="12.81640625" customWidth="1"/>
    <col min="48" max="48" width="9.453125" customWidth="1"/>
    <col min="49" max="49" width="8.90625" customWidth="1"/>
    <col min="51" max="51" width="10.453125" customWidth="1"/>
    <col min="53" max="53" width="10.7265625" customWidth="1"/>
    <col min="54" max="54" width="10.7265625" bestFit="1" customWidth="1"/>
    <col min="55" max="55" width="14.36328125" customWidth="1"/>
    <col min="56" max="56" width="12" customWidth="1"/>
    <col min="57" max="57" width="12.54296875" customWidth="1"/>
  </cols>
  <sheetData>
    <row r="4" spans="6:66" x14ac:dyDescent="0.35">
      <c r="F4" s="21"/>
      <c r="G4" s="21"/>
      <c r="H4" s="21"/>
      <c r="I4" s="22">
        <f>G5</f>
        <v>45748</v>
      </c>
      <c r="J4" s="21"/>
      <c r="K4" s="21"/>
      <c r="L4" s="21"/>
    </row>
    <row r="5" spans="6:66" ht="15" thickBot="1" x14ac:dyDescent="0.4">
      <c r="F5" s="21" t="s">
        <v>23</v>
      </c>
      <c r="G5" s="26">
        <v>45748</v>
      </c>
      <c r="H5" s="24">
        <f>G5</f>
        <v>45748</v>
      </c>
      <c r="I5" s="24"/>
      <c r="J5" s="21"/>
      <c r="K5" s="21"/>
      <c r="L5" s="21" t="s">
        <v>25</v>
      </c>
      <c r="M5" s="23">
        <f>EOMONTH(G5,0)</f>
        <v>45777</v>
      </c>
      <c r="O5" s="3"/>
    </row>
    <row r="6" spans="6:66" ht="16.5" thickBot="1" x14ac:dyDescent="0.45">
      <c r="G6" s="50" t="s">
        <v>27</v>
      </c>
      <c r="H6" s="51"/>
      <c r="I6" s="52"/>
      <c r="J6" s="11" t="s">
        <v>26</v>
      </c>
      <c r="K6" s="12" t="str">
        <f>TEXT(K7,"ddd")</f>
        <v>Tue</v>
      </c>
      <c r="L6" s="12" t="str">
        <f t="shared" ref="L6:AN6" si="0">TEXT(L7,"ddd")</f>
        <v>Wed</v>
      </c>
      <c r="M6" s="12" t="str">
        <f t="shared" si="0"/>
        <v>Thu</v>
      </c>
      <c r="N6" s="12" t="str">
        <f t="shared" si="0"/>
        <v>Fri</v>
      </c>
      <c r="O6" s="12" t="str">
        <f t="shared" si="0"/>
        <v>Sat</v>
      </c>
      <c r="P6" s="12" t="str">
        <f t="shared" si="0"/>
        <v>Sun</v>
      </c>
      <c r="Q6" s="12" t="str">
        <f t="shared" si="0"/>
        <v>Mon</v>
      </c>
      <c r="R6" s="12" t="str">
        <f t="shared" si="0"/>
        <v>Tue</v>
      </c>
      <c r="S6" s="12" t="str">
        <f t="shared" si="0"/>
        <v>Wed</v>
      </c>
      <c r="T6" s="12" t="str">
        <f t="shared" si="0"/>
        <v>Thu</v>
      </c>
      <c r="U6" s="12" t="str">
        <f t="shared" si="0"/>
        <v>Fri</v>
      </c>
      <c r="V6" s="12" t="str">
        <f t="shared" si="0"/>
        <v>Sat</v>
      </c>
      <c r="W6" s="12" t="str">
        <f t="shared" si="0"/>
        <v>Sun</v>
      </c>
      <c r="X6" s="12" t="str">
        <f t="shared" si="0"/>
        <v>Mon</v>
      </c>
      <c r="Y6" s="12" t="str">
        <f t="shared" si="0"/>
        <v>Tue</v>
      </c>
      <c r="Z6" s="12" t="str">
        <f t="shared" si="0"/>
        <v>Wed</v>
      </c>
      <c r="AA6" s="12" t="str">
        <f t="shared" si="0"/>
        <v>Thu</v>
      </c>
      <c r="AB6" s="12" t="str">
        <f t="shared" si="0"/>
        <v>Fri</v>
      </c>
      <c r="AC6" s="12" t="str">
        <f t="shared" si="0"/>
        <v>Sat</v>
      </c>
      <c r="AD6" s="12" t="str">
        <f t="shared" si="0"/>
        <v>Sun</v>
      </c>
      <c r="AE6" s="12" t="str">
        <f t="shared" si="0"/>
        <v>Mon</v>
      </c>
      <c r="AF6" s="12" t="str">
        <f t="shared" si="0"/>
        <v>Tue</v>
      </c>
      <c r="AG6" s="12" t="str">
        <f t="shared" si="0"/>
        <v>Wed</v>
      </c>
      <c r="AH6" s="12" t="str">
        <f t="shared" si="0"/>
        <v>Thu</v>
      </c>
      <c r="AI6" s="12" t="str">
        <f t="shared" si="0"/>
        <v>Fri</v>
      </c>
      <c r="AJ6" s="12" t="str">
        <f t="shared" si="0"/>
        <v>Sat</v>
      </c>
      <c r="AK6" s="12" t="str">
        <f t="shared" si="0"/>
        <v>Sun</v>
      </c>
      <c r="AL6" s="12" t="str">
        <f t="shared" si="0"/>
        <v>Mon</v>
      </c>
      <c r="AM6" s="13" t="str">
        <f t="shared" si="0"/>
        <v>Tue</v>
      </c>
      <c r="AN6" s="13" t="str">
        <f t="shared" si="0"/>
        <v>Wed</v>
      </c>
      <c r="AO6" s="14" t="str">
        <f>TEXT(AO7,"ddd")</f>
        <v/>
      </c>
    </row>
    <row r="7" spans="6:66" ht="14.25" customHeight="1" x14ac:dyDescent="0.35">
      <c r="G7" s="25" t="s">
        <v>0</v>
      </c>
      <c r="H7" s="25" t="s">
        <v>1</v>
      </c>
      <c r="I7" s="25" t="s">
        <v>2</v>
      </c>
      <c r="J7" s="8" t="s">
        <v>24</v>
      </c>
      <c r="K7" s="9">
        <f>G5</f>
        <v>45748</v>
      </c>
      <c r="L7" s="9">
        <f>IF(K7&lt;$M$5,1+K7,"")</f>
        <v>45749</v>
      </c>
      <c r="M7" s="9">
        <f t="shared" ref="M7:AL7" si="1">IF(L7&lt;$M$5,1+L7,"")</f>
        <v>45750</v>
      </c>
      <c r="N7" s="9">
        <f t="shared" si="1"/>
        <v>45751</v>
      </c>
      <c r="O7" s="9">
        <f t="shared" si="1"/>
        <v>45752</v>
      </c>
      <c r="P7" s="9">
        <f t="shared" si="1"/>
        <v>45753</v>
      </c>
      <c r="Q7" s="9">
        <f t="shared" si="1"/>
        <v>45754</v>
      </c>
      <c r="R7" s="9">
        <f t="shared" si="1"/>
        <v>45755</v>
      </c>
      <c r="S7" s="9">
        <f t="shared" si="1"/>
        <v>45756</v>
      </c>
      <c r="T7" s="9">
        <f t="shared" si="1"/>
        <v>45757</v>
      </c>
      <c r="U7" s="9">
        <f t="shared" si="1"/>
        <v>45758</v>
      </c>
      <c r="V7" s="9">
        <f t="shared" si="1"/>
        <v>45759</v>
      </c>
      <c r="W7" s="9">
        <f t="shared" si="1"/>
        <v>45760</v>
      </c>
      <c r="X7" s="9">
        <f t="shared" si="1"/>
        <v>45761</v>
      </c>
      <c r="Y7" s="9">
        <f t="shared" si="1"/>
        <v>45762</v>
      </c>
      <c r="Z7" s="9">
        <f t="shared" si="1"/>
        <v>45763</v>
      </c>
      <c r="AA7" s="9">
        <f>IF(Z7&lt;$M$5,1+Z7,"")</f>
        <v>45764</v>
      </c>
      <c r="AB7" s="9">
        <f t="shared" si="1"/>
        <v>45765</v>
      </c>
      <c r="AC7" s="9">
        <f t="shared" si="1"/>
        <v>45766</v>
      </c>
      <c r="AD7" s="9">
        <f t="shared" si="1"/>
        <v>45767</v>
      </c>
      <c r="AE7" s="9">
        <f t="shared" si="1"/>
        <v>45768</v>
      </c>
      <c r="AF7" s="9">
        <f t="shared" si="1"/>
        <v>45769</v>
      </c>
      <c r="AG7" s="9">
        <f t="shared" si="1"/>
        <v>45770</v>
      </c>
      <c r="AH7" s="9">
        <f t="shared" si="1"/>
        <v>45771</v>
      </c>
      <c r="AI7" s="9">
        <f t="shared" si="1"/>
        <v>45772</v>
      </c>
      <c r="AJ7" s="9">
        <f t="shared" si="1"/>
        <v>45773</v>
      </c>
      <c r="AK7" s="9">
        <f t="shared" si="1"/>
        <v>45774</v>
      </c>
      <c r="AL7" s="9">
        <f t="shared" si="1"/>
        <v>45775</v>
      </c>
      <c r="AM7" s="9">
        <f>IF(AL7&lt;$M$5,1+AL7,"")</f>
        <v>45776</v>
      </c>
      <c r="AN7" s="9">
        <f>IF(AM7&lt;$M$5,1+AM7,"")</f>
        <v>45777</v>
      </c>
      <c r="AO7" s="10" t="str">
        <f>IF(AN7&lt;$M$5,1+AN7,"")</f>
        <v/>
      </c>
      <c r="AP7" s="5"/>
      <c r="AQ7" s="5"/>
      <c r="AR7" s="18" t="s">
        <v>0</v>
      </c>
      <c r="AS7" s="18" t="s">
        <v>1</v>
      </c>
      <c r="AT7" s="18" t="s">
        <v>72</v>
      </c>
      <c r="AU7" s="18" t="s">
        <v>2</v>
      </c>
      <c r="AV7" s="17" t="s">
        <v>28</v>
      </c>
      <c r="AW7" s="17" t="s">
        <v>29</v>
      </c>
      <c r="AX7" s="17" t="s">
        <v>30</v>
      </c>
      <c r="AY7" s="17" t="s">
        <v>24</v>
      </c>
      <c r="AZ7" s="17" t="s">
        <v>26</v>
      </c>
      <c r="BA7" s="17" t="s">
        <v>31</v>
      </c>
      <c r="BB7" s="17" t="s">
        <v>32</v>
      </c>
      <c r="BC7" s="17" t="s">
        <v>33</v>
      </c>
      <c r="BD7" s="17" t="s">
        <v>34</v>
      </c>
      <c r="BE7" s="17" t="s">
        <v>35</v>
      </c>
      <c r="BF7" s="16"/>
      <c r="BG7" s="5"/>
      <c r="BH7" s="5"/>
      <c r="BI7" s="5"/>
      <c r="BJ7" s="5"/>
      <c r="BK7" s="5"/>
      <c r="BL7" s="5"/>
      <c r="BM7" s="5"/>
      <c r="BN7" s="5"/>
    </row>
    <row r="8" spans="6:66" ht="14.25" customHeight="1" x14ac:dyDescent="0.35">
      <c r="G8" s="7">
        <v>1</v>
      </c>
      <c r="H8" s="27" t="s">
        <v>37</v>
      </c>
      <c r="I8" s="7">
        <v>1001</v>
      </c>
      <c r="J8" s="15">
        <f>COUNTIF(K$6:AO$6,"Sun")</f>
        <v>4</v>
      </c>
      <c r="K8" s="7" t="s">
        <v>36</v>
      </c>
      <c r="L8" s="7" t="s">
        <v>36</v>
      </c>
      <c r="M8" s="7" t="s">
        <v>36</v>
      </c>
      <c r="N8" s="7" t="s">
        <v>36</v>
      </c>
      <c r="O8" s="7" t="s">
        <v>36</v>
      </c>
      <c r="P8" s="7" t="s">
        <v>58</v>
      </c>
      <c r="Q8" s="7" t="s">
        <v>56</v>
      </c>
      <c r="R8" s="7" t="s">
        <v>56</v>
      </c>
      <c r="S8" s="7" t="s">
        <v>56</v>
      </c>
      <c r="T8" s="7" t="s">
        <v>57</v>
      </c>
      <c r="U8" s="7" t="s">
        <v>36</v>
      </c>
      <c r="V8" s="7" t="s">
        <v>36</v>
      </c>
      <c r="W8" s="7" t="s">
        <v>58</v>
      </c>
      <c r="X8" s="7" t="s">
        <v>56</v>
      </c>
      <c r="Y8" s="7" t="s">
        <v>56</v>
      </c>
      <c r="Z8" s="7" t="s">
        <v>57</v>
      </c>
      <c r="AA8" s="7" t="s">
        <v>36</v>
      </c>
      <c r="AB8" s="7" t="s">
        <v>36</v>
      </c>
      <c r="AC8" s="7" t="s">
        <v>36</v>
      </c>
      <c r="AD8" s="7" t="str">
        <f t="shared" ref="AD8:AK16" si="2">IF(AD$6="Sun","WO","")</f>
        <v>WO</v>
      </c>
      <c r="AE8" s="7" t="s">
        <v>36</v>
      </c>
      <c r="AF8" s="7" t="s">
        <v>36</v>
      </c>
      <c r="AG8" s="7" t="s">
        <v>36</v>
      </c>
      <c r="AH8" s="7" t="s">
        <v>36</v>
      </c>
      <c r="AI8" s="7" t="s">
        <v>36</v>
      </c>
      <c r="AJ8" s="7" t="s">
        <v>36</v>
      </c>
      <c r="AK8" s="7" t="str">
        <f t="shared" si="2"/>
        <v>WO</v>
      </c>
      <c r="AL8" s="7" t="s">
        <v>36</v>
      </c>
      <c r="AM8" s="7" t="s">
        <v>56</v>
      </c>
      <c r="AN8" s="7" t="s">
        <v>56</v>
      </c>
      <c r="AO8" s="7"/>
      <c r="AP8" s="5"/>
      <c r="AQ8" s="5"/>
      <c r="AR8" s="7">
        <v>1</v>
      </c>
      <c r="AS8" s="29" t="s">
        <v>37</v>
      </c>
      <c r="AT8" s="7" t="s">
        <v>65</v>
      </c>
      <c r="AU8" s="7">
        <v>1001</v>
      </c>
      <c r="AV8" s="30">
        <f t="shared" ref="AV8:AV27" si="3">COUNTIF($K8:$AO8,"P")</f>
        <v>17</v>
      </c>
      <c r="AW8" s="30">
        <f>COUNTIF($K8:$AO8,"A")</f>
        <v>7</v>
      </c>
      <c r="AX8" s="30">
        <f t="shared" ref="AX8:AX27" si="4">COUNTIF($K8:$AO8,"L")</f>
        <v>2</v>
      </c>
      <c r="AY8" s="31">
        <f t="shared" ref="AY8:AY27" si="5">COUNTIF($K8:$AO8,"WO")</f>
        <v>4</v>
      </c>
      <c r="AZ8" s="31">
        <f>($M$5-$H$5)+1</f>
        <v>30</v>
      </c>
      <c r="BA8" s="32">
        <f>Table135[[#This Row],[Days]]-Table135[[#This Row],[Absent]]</f>
        <v>23</v>
      </c>
      <c r="BB8" s="33">
        <v>4500</v>
      </c>
      <c r="BC8" s="36">
        <f>Table135[[#This Row],[Salary]]/Table135[[#This Row],[Days]]</f>
        <v>150</v>
      </c>
      <c r="BD8" s="34">
        <f>Table135[[#This Row],[Per Day Salary]]*Table135[[#This Row],[Absent]]</f>
        <v>1050</v>
      </c>
      <c r="BE8" s="33">
        <f>Table135[[#This Row],[Salary]]-Table135[[#This Row],[Deduction ]]</f>
        <v>3450</v>
      </c>
      <c r="BF8" s="5"/>
      <c r="BG8" s="5"/>
      <c r="BH8" s="5"/>
      <c r="BI8" s="5"/>
      <c r="BJ8" s="5"/>
      <c r="BK8" s="5"/>
      <c r="BL8" s="5"/>
    </row>
    <row r="9" spans="6:66" x14ac:dyDescent="0.35">
      <c r="G9" s="7">
        <v>2</v>
      </c>
      <c r="H9" s="27" t="s">
        <v>38</v>
      </c>
      <c r="I9" s="7">
        <v>1002</v>
      </c>
      <c r="J9" s="15">
        <f t="shared" ref="J9:J27" si="6">COUNTIF(K$6:AO$6,"Sun")</f>
        <v>4</v>
      </c>
      <c r="K9" s="7" t="s">
        <v>36</v>
      </c>
      <c r="L9" s="7" t="s">
        <v>36</v>
      </c>
      <c r="M9" s="7" t="s">
        <v>36</v>
      </c>
      <c r="N9" s="7" t="s">
        <v>36</v>
      </c>
      <c r="O9" s="7" t="s">
        <v>36</v>
      </c>
      <c r="P9" s="7" t="s">
        <v>58</v>
      </c>
      <c r="Q9" s="7" t="s">
        <v>56</v>
      </c>
      <c r="R9" s="7" t="s">
        <v>56</v>
      </c>
      <c r="S9" s="7" t="s">
        <v>56</v>
      </c>
      <c r="T9" s="7" t="s">
        <v>57</v>
      </c>
      <c r="U9" s="7" t="s">
        <v>36</v>
      </c>
      <c r="V9" s="7" t="s">
        <v>36</v>
      </c>
      <c r="W9" s="7" t="s">
        <v>58</v>
      </c>
      <c r="X9" s="7" t="s">
        <v>56</v>
      </c>
      <c r="Y9" s="7" t="s">
        <v>56</v>
      </c>
      <c r="Z9" s="7" t="s">
        <v>57</v>
      </c>
      <c r="AA9" s="7" t="s">
        <v>36</v>
      </c>
      <c r="AB9" s="7" t="s">
        <v>36</v>
      </c>
      <c r="AC9" s="7" t="s">
        <v>36</v>
      </c>
      <c r="AD9" s="7" t="str">
        <f t="shared" si="2"/>
        <v>WO</v>
      </c>
      <c r="AE9" s="7" t="s">
        <v>36</v>
      </c>
      <c r="AF9" s="7" t="s">
        <v>36</v>
      </c>
      <c r="AG9" s="7" t="s">
        <v>36</v>
      </c>
      <c r="AH9" s="7" t="s">
        <v>36</v>
      </c>
      <c r="AI9" s="7" t="s">
        <v>36</v>
      </c>
      <c r="AJ9" s="7" t="s">
        <v>36</v>
      </c>
      <c r="AK9" s="7" t="str">
        <f t="shared" si="2"/>
        <v>WO</v>
      </c>
      <c r="AL9" s="7" t="s">
        <v>36</v>
      </c>
      <c r="AM9" s="7" t="s">
        <v>56</v>
      </c>
      <c r="AN9" s="7" t="s">
        <v>56</v>
      </c>
      <c r="AO9" s="7"/>
      <c r="AP9" s="5"/>
      <c r="AQ9" s="5"/>
      <c r="AR9" s="7">
        <v>2</v>
      </c>
      <c r="AS9" s="7" t="s">
        <v>38</v>
      </c>
      <c r="AT9" s="7" t="s">
        <v>65</v>
      </c>
      <c r="AU9" s="7">
        <v>1002</v>
      </c>
      <c r="AV9" s="30">
        <f t="shared" si="3"/>
        <v>17</v>
      </c>
      <c r="AW9" s="30">
        <f>COUNTIF($K9:$AO9,"A")</f>
        <v>7</v>
      </c>
      <c r="AX9" s="35">
        <f t="shared" si="4"/>
        <v>2</v>
      </c>
      <c r="AY9" s="31">
        <f t="shared" si="5"/>
        <v>4</v>
      </c>
      <c r="AZ9" s="31">
        <f t="shared" ref="AZ9:AZ27" si="7">($M$5-$H$5)+1</f>
        <v>30</v>
      </c>
      <c r="BA9" s="32">
        <f>Table135[[#This Row],[Days]]-Table135[[#This Row],[Absent]]</f>
        <v>23</v>
      </c>
      <c r="BB9" s="33">
        <v>4600</v>
      </c>
      <c r="BC9" s="36">
        <f>Table135[[#This Row],[Salary]]/Table135[[#This Row],[Days]]</f>
        <v>153.33333333333334</v>
      </c>
      <c r="BD9" s="34">
        <f>Table135[[#This Row],[Per Day Salary]]*Table135[[#This Row],[Absent]]</f>
        <v>1073.3333333333335</v>
      </c>
      <c r="BE9" s="33">
        <f>Table135[[#This Row],[Salary]]-Table135[[#This Row],[Deduction ]]</f>
        <v>3526.6666666666665</v>
      </c>
      <c r="BF9" s="5"/>
      <c r="BG9" s="5"/>
      <c r="BH9" s="5"/>
      <c r="BI9" s="5"/>
      <c r="BJ9" s="5"/>
      <c r="BK9" s="5"/>
      <c r="BL9" s="5"/>
    </row>
    <row r="10" spans="6:66" x14ac:dyDescent="0.35">
      <c r="G10" s="7">
        <v>3</v>
      </c>
      <c r="H10" s="27" t="s">
        <v>39</v>
      </c>
      <c r="I10" s="7">
        <v>1003</v>
      </c>
      <c r="J10" s="15">
        <f t="shared" si="6"/>
        <v>4</v>
      </c>
      <c r="K10" s="7" t="s">
        <v>36</v>
      </c>
      <c r="L10" s="7" t="s">
        <v>36</v>
      </c>
      <c r="M10" s="7" t="s">
        <v>36</v>
      </c>
      <c r="N10" s="7" t="s">
        <v>36</v>
      </c>
      <c r="O10" s="7" t="s">
        <v>36</v>
      </c>
      <c r="P10" s="7" t="s">
        <v>58</v>
      </c>
      <c r="Q10" s="7" t="s">
        <v>56</v>
      </c>
      <c r="R10" s="7" t="s">
        <v>56</v>
      </c>
      <c r="S10" s="7" t="s">
        <v>56</v>
      </c>
      <c r="T10" s="7" t="s">
        <v>57</v>
      </c>
      <c r="U10" s="7" t="s">
        <v>36</v>
      </c>
      <c r="V10" s="7" t="s">
        <v>36</v>
      </c>
      <c r="W10" s="7" t="s">
        <v>58</v>
      </c>
      <c r="X10" s="7" t="s">
        <v>56</v>
      </c>
      <c r="Y10" s="7" t="s">
        <v>56</v>
      </c>
      <c r="Z10" s="7" t="s">
        <v>57</v>
      </c>
      <c r="AA10" s="7" t="s">
        <v>36</v>
      </c>
      <c r="AB10" s="7" t="s">
        <v>36</v>
      </c>
      <c r="AC10" s="7" t="s">
        <v>36</v>
      </c>
      <c r="AD10" s="7" t="str">
        <f t="shared" si="2"/>
        <v>WO</v>
      </c>
      <c r="AE10" s="7" t="s">
        <v>36</v>
      </c>
      <c r="AF10" s="7" t="s">
        <v>36</v>
      </c>
      <c r="AG10" s="7" t="s">
        <v>36</v>
      </c>
      <c r="AH10" s="7" t="s">
        <v>36</v>
      </c>
      <c r="AI10" s="7" t="s">
        <v>36</v>
      </c>
      <c r="AJ10" s="7" t="s">
        <v>36</v>
      </c>
      <c r="AK10" s="7" t="str">
        <f t="shared" si="2"/>
        <v>WO</v>
      </c>
      <c r="AL10" s="7" t="s">
        <v>36</v>
      </c>
      <c r="AM10" s="7" t="s">
        <v>56</v>
      </c>
      <c r="AN10" s="7" t="s">
        <v>56</v>
      </c>
      <c r="AO10" s="7"/>
      <c r="AP10" s="5"/>
      <c r="AQ10" s="5"/>
      <c r="AR10" s="7">
        <v>3</v>
      </c>
      <c r="AS10" s="7" t="s">
        <v>39</v>
      </c>
      <c r="AT10" s="7" t="s">
        <v>65</v>
      </c>
      <c r="AU10" s="7">
        <v>1003</v>
      </c>
      <c r="AV10" s="30">
        <f t="shared" si="3"/>
        <v>17</v>
      </c>
      <c r="AW10" s="30">
        <f t="shared" ref="AW10:AW27" si="8">COUNTIF($K10:$AO10,"A")</f>
        <v>7</v>
      </c>
      <c r="AX10" s="30">
        <f t="shared" si="4"/>
        <v>2</v>
      </c>
      <c r="AY10" s="31">
        <f t="shared" si="5"/>
        <v>4</v>
      </c>
      <c r="AZ10" s="31">
        <f t="shared" si="7"/>
        <v>30</v>
      </c>
      <c r="BA10" s="32">
        <f>Table135[[#This Row],[Days]]-Table135[[#This Row],[Absent]]</f>
        <v>23</v>
      </c>
      <c r="BB10" s="33">
        <v>4700</v>
      </c>
      <c r="BC10" s="36">
        <f>Table135[[#This Row],[Salary]]/Table135[[#This Row],[Days]]</f>
        <v>156.66666666666666</v>
      </c>
      <c r="BD10" s="34">
        <f>Table135[[#This Row],[Per Day Salary]]*Table135[[#This Row],[Absent]]</f>
        <v>1096.6666666666665</v>
      </c>
      <c r="BE10" s="33">
        <f>Table135[[#This Row],[Salary]]-Table135[[#This Row],[Deduction ]]</f>
        <v>3603.3333333333335</v>
      </c>
      <c r="BF10" s="5"/>
      <c r="BG10" s="5"/>
      <c r="BH10" s="5"/>
      <c r="BI10" s="5"/>
      <c r="BJ10" s="5"/>
      <c r="BK10" s="5"/>
      <c r="BL10" s="5"/>
    </row>
    <row r="11" spans="6:66" x14ac:dyDescent="0.35">
      <c r="G11" s="7">
        <v>4</v>
      </c>
      <c r="H11" s="27" t="s">
        <v>59</v>
      </c>
      <c r="I11" s="7">
        <v>1004</v>
      </c>
      <c r="J11" s="15">
        <f t="shared" si="6"/>
        <v>4</v>
      </c>
      <c r="K11" s="7" t="s">
        <v>36</v>
      </c>
      <c r="L11" s="7" t="s">
        <v>36</v>
      </c>
      <c r="M11" s="7" t="s">
        <v>36</v>
      </c>
      <c r="N11" s="7" t="s">
        <v>36</v>
      </c>
      <c r="O11" s="7" t="s">
        <v>36</v>
      </c>
      <c r="P11" s="7" t="s">
        <v>58</v>
      </c>
      <c r="Q11" s="7" t="s">
        <v>56</v>
      </c>
      <c r="R11" s="7" t="s">
        <v>56</v>
      </c>
      <c r="S11" s="7" t="s">
        <v>56</v>
      </c>
      <c r="T11" s="7" t="s">
        <v>57</v>
      </c>
      <c r="U11" s="7" t="s">
        <v>36</v>
      </c>
      <c r="V11" s="7" t="s">
        <v>36</v>
      </c>
      <c r="W11" s="7" t="s">
        <v>58</v>
      </c>
      <c r="X11" s="7" t="s">
        <v>56</v>
      </c>
      <c r="Y11" s="7" t="s">
        <v>56</v>
      </c>
      <c r="Z11" s="7" t="s">
        <v>57</v>
      </c>
      <c r="AA11" s="7" t="s">
        <v>36</v>
      </c>
      <c r="AB11" s="7" t="s">
        <v>36</v>
      </c>
      <c r="AC11" s="7" t="s">
        <v>36</v>
      </c>
      <c r="AD11" s="7" t="str">
        <f t="shared" si="2"/>
        <v>WO</v>
      </c>
      <c r="AE11" s="7" t="s">
        <v>36</v>
      </c>
      <c r="AF11" s="7" t="s">
        <v>36</v>
      </c>
      <c r="AG11" s="7" t="s">
        <v>36</v>
      </c>
      <c r="AH11" s="7" t="s">
        <v>36</v>
      </c>
      <c r="AI11" s="7" t="s">
        <v>36</v>
      </c>
      <c r="AJ11" s="7" t="s">
        <v>36</v>
      </c>
      <c r="AK11" s="7" t="str">
        <f t="shared" si="2"/>
        <v>WO</v>
      </c>
      <c r="AL11" s="7" t="s">
        <v>36</v>
      </c>
      <c r="AM11" s="7" t="s">
        <v>56</v>
      </c>
      <c r="AN11" s="7" t="s">
        <v>56</v>
      </c>
      <c r="AO11" s="7"/>
      <c r="AP11" s="5"/>
      <c r="AQ11" s="5"/>
      <c r="AR11" s="7">
        <v>4</v>
      </c>
      <c r="AS11" s="7" t="s">
        <v>59</v>
      </c>
      <c r="AT11" s="7" t="s">
        <v>65</v>
      </c>
      <c r="AU11" s="7">
        <v>1004</v>
      </c>
      <c r="AV11" s="30">
        <f t="shared" si="3"/>
        <v>17</v>
      </c>
      <c r="AW11" s="30">
        <f t="shared" si="8"/>
        <v>7</v>
      </c>
      <c r="AX11" s="30">
        <f t="shared" si="4"/>
        <v>2</v>
      </c>
      <c r="AY11" s="31">
        <f t="shared" si="5"/>
        <v>4</v>
      </c>
      <c r="AZ11" s="31">
        <f t="shared" si="7"/>
        <v>30</v>
      </c>
      <c r="BA11" s="32">
        <f>Table135[[#This Row],[Days]]-Table135[[#This Row],[Absent]]</f>
        <v>23</v>
      </c>
      <c r="BB11" s="33">
        <v>4800</v>
      </c>
      <c r="BC11" s="36">
        <f>Table135[[#This Row],[Salary]]/Table135[[#This Row],[Days]]</f>
        <v>160</v>
      </c>
      <c r="BD11" s="34">
        <f>Table135[[#This Row],[Per Day Salary]]*Table135[[#This Row],[Absent]]</f>
        <v>1120</v>
      </c>
      <c r="BE11" s="33">
        <f>Table135[[#This Row],[Salary]]-Table135[[#This Row],[Deduction ]]</f>
        <v>3680</v>
      </c>
      <c r="BF11" s="5"/>
      <c r="BG11" s="5"/>
      <c r="BH11" s="5"/>
      <c r="BI11" s="5"/>
      <c r="BJ11" s="5"/>
      <c r="BK11" s="5"/>
      <c r="BL11" s="5"/>
    </row>
    <row r="12" spans="6:66" x14ac:dyDescent="0.35">
      <c r="G12" s="7">
        <v>5</v>
      </c>
      <c r="H12" s="27" t="s">
        <v>40</v>
      </c>
      <c r="I12" s="7">
        <v>1005</v>
      </c>
      <c r="J12" s="15">
        <f t="shared" si="6"/>
        <v>4</v>
      </c>
      <c r="K12" s="7" t="s">
        <v>36</v>
      </c>
      <c r="L12" s="7" t="s">
        <v>36</v>
      </c>
      <c r="M12" s="7" t="s">
        <v>36</v>
      </c>
      <c r="N12" s="7" t="s">
        <v>36</v>
      </c>
      <c r="O12" s="7" t="s">
        <v>36</v>
      </c>
      <c r="P12" s="7" t="s">
        <v>58</v>
      </c>
      <c r="Q12" s="7" t="s">
        <v>56</v>
      </c>
      <c r="R12" s="7" t="s">
        <v>56</v>
      </c>
      <c r="S12" s="7" t="s">
        <v>56</v>
      </c>
      <c r="T12" s="7" t="s">
        <v>57</v>
      </c>
      <c r="U12" s="7" t="s">
        <v>36</v>
      </c>
      <c r="V12" s="7" t="s">
        <v>36</v>
      </c>
      <c r="W12" s="7" t="s">
        <v>58</v>
      </c>
      <c r="X12" s="7" t="s">
        <v>56</v>
      </c>
      <c r="Y12" s="7" t="s">
        <v>56</v>
      </c>
      <c r="Z12" s="7" t="s">
        <v>57</v>
      </c>
      <c r="AA12" s="7" t="s">
        <v>36</v>
      </c>
      <c r="AB12" s="7" t="s">
        <v>36</v>
      </c>
      <c r="AC12" s="7" t="s">
        <v>36</v>
      </c>
      <c r="AD12" s="7" t="str">
        <f t="shared" si="2"/>
        <v>WO</v>
      </c>
      <c r="AE12" s="7" t="s">
        <v>36</v>
      </c>
      <c r="AF12" s="7" t="s">
        <v>36</v>
      </c>
      <c r="AG12" s="7" t="s">
        <v>36</v>
      </c>
      <c r="AH12" s="7" t="s">
        <v>36</v>
      </c>
      <c r="AI12" s="7" t="s">
        <v>36</v>
      </c>
      <c r="AJ12" s="7" t="s">
        <v>36</v>
      </c>
      <c r="AK12" s="7" t="str">
        <f t="shared" si="2"/>
        <v>WO</v>
      </c>
      <c r="AL12" s="7" t="s">
        <v>36</v>
      </c>
      <c r="AM12" s="7" t="s">
        <v>56</v>
      </c>
      <c r="AN12" s="7" t="s">
        <v>56</v>
      </c>
      <c r="AO12" s="7"/>
      <c r="AP12" s="5"/>
      <c r="AQ12" s="5"/>
      <c r="AR12" s="7">
        <v>5</v>
      </c>
      <c r="AS12" s="7" t="s">
        <v>40</v>
      </c>
      <c r="AT12" s="7" t="s">
        <v>65</v>
      </c>
      <c r="AU12" s="7">
        <v>1005</v>
      </c>
      <c r="AV12" s="30">
        <f t="shared" si="3"/>
        <v>17</v>
      </c>
      <c r="AW12" s="30">
        <f t="shared" si="8"/>
        <v>7</v>
      </c>
      <c r="AX12" s="30">
        <f t="shared" si="4"/>
        <v>2</v>
      </c>
      <c r="AY12" s="31">
        <f t="shared" si="5"/>
        <v>4</v>
      </c>
      <c r="AZ12" s="31">
        <f t="shared" si="7"/>
        <v>30</v>
      </c>
      <c r="BA12" s="32">
        <f>Table135[[#This Row],[Days]]-Table135[[#This Row],[Absent]]</f>
        <v>23</v>
      </c>
      <c r="BB12" s="33">
        <v>4900</v>
      </c>
      <c r="BC12" s="36">
        <f>Table135[[#This Row],[Salary]]/Table135[[#This Row],[Days]]</f>
        <v>163.33333333333334</v>
      </c>
      <c r="BD12" s="34">
        <f>Table135[[#This Row],[Per Day Salary]]*Table135[[#This Row],[Absent]]</f>
        <v>1143.3333333333335</v>
      </c>
      <c r="BE12" s="33">
        <f>Table135[[#This Row],[Salary]]-Table135[[#This Row],[Deduction ]]</f>
        <v>3756.6666666666665</v>
      </c>
      <c r="BF12" s="5"/>
      <c r="BG12" s="5"/>
      <c r="BH12" s="5"/>
      <c r="BI12" s="5"/>
      <c r="BJ12" s="5"/>
      <c r="BK12" s="5"/>
      <c r="BL12" s="5"/>
    </row>
    <row r="13" spans="6:66" x14ac:dyDescent="0.35">
      <c r="G13" s="7">
        <v>6</v>
      </c>
      <c r="H13" s="27" t="s">
        <v>41</v>
      </c>
      <c r="I13" s="7">
        <v>1006</v>
      </c>
      <c r="J13" s="15">
        <f t="shared" si="6"/>
        <v>4</v>
      </c>
      <c r="K13" s="7" t="s">
        <v>36</v>
      </c>
      <c r="L13" s="7" t="s">
        <v>36</v>
      </c>
      <c r="M13" s="7" t="s">
        <v>36</v>
      </c>
      <c r="N13" s="7" t="s">
        <v>36</v>
      </c>
      <c r="O13" s="7" t="s">
        <v>36</v>
      </c>
      <c r="P13" s="7" t="s">
        <v>58</v>
      </c>
      <c r="Q13" s="7" t="s">
        <v>56</v>
      </c>
      <c r="R13" s="7" t="s">
        <v>56</v>
      </c>
      <c r="S13" s="7" t="s">
        <v>56</v>
      </c>
      <c r="T13" s="7" t="s">
        <v>57</v>
      </c>
      <c r="U13" s="7" t="s">
        <v>36</v>
      </c>
      <c r="V13" s="7" t="s">
        <v>36</v>
      </c>
      <c r="W13" s="7" t="s">
        <v>58</v>
      </c>
      <c r="X13" s="7" t="s">
        <v>56</v>
      </c>
      <c r="Y13" s="7" t="s">
        <v>56</v>
      </c>
      <c r="Z13" s="7" t="s">
        <v>57</v>
      </c>
      <c r="AA13" s="7" t="s">
        <v>36</v>
      </c>
      <c r="AB13" s="7" t="s">
        <v>36</v>
      </c>
      <c r="AC13" s="7" t="s">
        <v>36</v>
      </c>
      <c r="AD13" s="7" t="str">
        <f t="shared" si="2"/>
        <v>WO</v>
      </c>
      <c r="AE13" s="7" t="s">
        <v>36</v>
      </c>
      <c r="AF13" s="7" t="s">
        <v>36</v>
      </c>
      <c r="AG13" s="7" t="s">
        <v>36</v>
      </c>
      <c r="AH13" s="7" t="s">
        <v>36</v>
      </c>
      <c r="AI13" s="7" t="s">
        <v>36</v>
      </c>
      <c r="AJ13" s="7" t="s">
        <v>36</v>
      </c>
      <c r="AK13" s="7" t="str">
        <f t="shared" si="2"/>
        <v>WO</v>
      </c>
      <c r="AL13" s="7" t="s">
        <v>36</v>
      </c>
      <c r="AM13" s="7" t="s">
        <v>56</v>
      </c>
      <c r="AN13" s="7" t="s">
        <v>56</v>
      </c>
      <c r="AO13" s="7"/>
      <c r="AP13" s="5"/>
      <c r="AQ13" s="5"/>
      <c r="AR13" s="7">
        <v>6</v>
      </c>
      <c r="AS13" s="7" t="s">
        <v>41</v>
      </c>
      <c r="AT13" s="7" t="s">
        <v>65</v>
      </c>
      <c r="AU13" s="7">
        <v>1006</v>
      </c>
      <c r="AV13" s="30">
        <f t="shared" si="3"/>
        <v>17</v>
      </c>
      <c r="AW13" s="30">
        <f t="shared" si="8"/>
        <v>7</v>
      </c>
      <c r="AX13" s="30">
        <f t="shared" si="4"/>
        <v>2</v>
      </c>
      <c r="AY13" s="31">
        <f t="shared" si="5"/>
        <v>4</v>
      </c>
      <c r="AZ13" s="31">
        <f t="shared" si="7"/>
        <v>30</v>
      </c>
      <c r="BA13" s="32">
        <f>Table135[[#This Row],[Days]]-Table135[[#This Row],[Absent]]</f>
        <v>23</v>
      </c>
      <c r="BB13" s="33">
        <v>5000</v>
      </c>
      <c r="BC13" s="36">
        <f>Table135[[#This Row],[Salary]]/Table135[[#This Row],[Days]]</f>
        <v>166.66666666666666</v>
      </c>
      <c r="BD13" s="34">
        <f>Table135[[#This Row],[Per Day Salary]]*Table135[[#This Row],[Absent]]</f>
        <v>1166.6666666666665</v>
      </c>
      <c r="BE13" s="33">
        <f>Table135[[#This Row],[Salary]]-Table135[[#This Row],[Deduction ]]</f>
        <v>3833.3333333333335</v>
      </c>
      <c r="BF13" s="5"/>
      <c r="BG13" s="5"/>
      <c r="BH13" s="5"/>
      <c r="BI13" s="5"/>
      <c r="BJ13" s="5"/>
      <c r="BK13" s="5"/>
      <c r="BL13" s="5"/>
    </row>
    <row r="14" spans="6:66" x14ac:dyDescent="0.35">
      <c r="G14" s="7">
        <v>7</v>
      </c>
      <c r="H14" s="27" t="s">
        <v>42</v>
      </c>
      <c r="I14" s="7">
        <v>1007</v>
      </c>
      <c r="J14" s="15">
        <f t="shared" si="6"/>
        <v>4</v>
      </c>
      <c r="K14" s="7" t="s">
        <v>36</v>
      </c>
      <c r="L14" s="7" t="s">
        <v>36</v>
      </c>
      <c r="M14" s="7" t="s">
        <v>36</v>
      </c>
      <c r="N14" s="7" t="s">
        <v>36</v>
      </c>
      <c r="O14" s="7" t="s">
        <v>36</v>
      </c>
      <c r="P14" s="7" t="s">
        <v>58</v>
      </c>
      <c r="Q14" s="7" t="s">
        <v>56</v>
      </c>
      <c r="R14" s="7" t="s">
        <v>56</v>
      </c>
      <c r="S14" s="7" t="s">
        <v>56</v>
      </c>
      <c r="T14" s="7" t="s">
        <v>57</v>
      </c>
      <c r="U14" s="7" t="s">
        <v>36</v>
      </c>
      <c r="V14" s="7" t="s">
        <v>36</v>
      </c>
      <c r="W14" s="7" t="s">
        <v>58</v>
      </c>
      <c r="X14" s="7" t="s">
        <v>56</v>
      </c>
      <c r="Y14" s="7" t="s">
        <v>56</v>
      </c>
      <c r="Z14" s="7" t="s">
        <v>57</v>
      </c>
      <c r="AA14" s="7" t="s">
        <v>36</v>
      </c>
      <c r="AB14" s="7" t="s">
        <v>36</v>
      </c>
      <c r="AC14" s="7" t="s">
        <v>36</v>
      </c>
      <c r="AD14" s="7" t="str">
        <f t="shared" si="2"/>
        <v>WO</v>
      </c>
      <c r="AE14" s="7" t="s">
        <v>36</v>
      </c>
      <c r="AF14" s="7" t="s">
        <v>36</v>
      </c>
      <c r="AG14" s="7" t="s">
        <v>36</v>
      </c>
      <c r="AH14" s="7" t="s">
        <v>36</v>
      </c>
      <c r="AI14" s="7" t="s">
        <v>36</v>
      </c>
      <c r="AJ14" s="7" t="s">
        <v>36</v>
      </c>
      <c r="AK14" s="7" t="str">
        <f t="shared" si="2"/>
        <v>WO</v>
      </c>
      <c r="AL14" s="7" t="s">
        <v>36</v>
      </c>
      <c r="AM14" s="7" t="s">
        <v>56</v>
      </c>
      <c r="AN14" s="7" t="s">
        <v>56</v>
      </c>
      <c r="AO14" s="7"/>
      <c r="AR14" s="7">
        <v>7</v>
      </c>
      <c r="AS14" s="7" t="s">
        <v>42</v>
      </c>
      <c r="AT14" s="7" t="s">
        <v>65</v>
      </c>
      <c r="AU14" s="7">
        <v>1007</v>
      </c>
      <c r="AV14" s="30">
        <f t="shared" si="3"/>
        <v>17</v>
      </c>
      <c r="AW14" s="30">
        <f t="shared" si="8"/>
        <v>7</v>
      </c>
      <c r="AX14" s="30">
        <f t="shared" si="4"/>
        <v>2</v>
      </c>
      <c r="AY14" s="31">
        <f t="shared" si="5"/>
        <v>4</v>
      </c>
      <c r="AZ14" s="31">
        <f t="shared" si="7"/>
        <v>30</v>
      </c>
      <c r="BA14" s="32">
        <f>Table135[[#This Row],[Days]]-Table135[[#This Row],[Absent]]</f>
        <v>23</v>
      </c>
      <c r="BB14" s="33">
        <v>5100</v>
      </c>
      <c r="BC14" s="36">
        <f>Table135[[#This Row],[Salary]]/Table135[[#This Row],[Days]]</f>
        <v>170</v>
      </c>
      <c r="BD14" s="34">
        <f>Table135[[#This Row],[Per Day Salary]]*Table135[[#This Row],[Absent]]</f>
        <v>1190</v>
      </c>
      <c r="BE14" s="33">
        <f>Table135[[#This Row],[Salary]]-Table135[[#This Row],[Deduction ]]</f>
        <v>3910</v>
      </c>
    </row>
    <row r="15" spans="6:66" x14ac:dyDescent="0.35">
      <c r="G15" s="7">
        <v>8</v>
      </c>
      <c r="H15" s="27" t="s">
        <v>43</v>
      </c>
      <c r="I15" s="7">
        <v>1008</v>
      </c>
      <c r="J15" s="15">
        <f t="shared" si="6"/>
        <v>4</v>
      </c>
      <c r="K15" s="7" t="s">
        <v>36</v>
      </c>
      <c r="L15" s="7" t="s">
        <v>36</v>
      </c>
      <c r="M15" s="7" t="s">
        <v>36</v>
      </c>
      <c r="N15" s="7" t="s">
        <v>36</v>
      </c>
      <c r="O15" s="7" t="s">
        <v>36</v>
      </c>
      <c r="P15" s="7" t="s">
        <v>58</v>
      </c>
      <c r="Q15" s="7" t="s">
        <v>56</v>
      </c>
      <c r="R15" s="7" t="s">
        <v>56</v>
      </c>
      <c r="S15" s="7" t="s">
        <v>56</v>
      </c>
      <c r="T15" s="7" t="s">
        <v>57</v>
      </c>
      <c r="U15" s="7" t="s">
        <v>36</v>
      </c>
      <c r="V15" s="7" t="s">
        <v>36</v>
      </c>
      <c r="W15" s="7" t="s">
        <v>58</v>
      </c>
      <c r="X15" s="7" t="s">
        <v>56</v>
      </c>
      <c r="Y15" s="7" t="s">
        <v>56</v>
      </c>
      <c r="Z15" s="7" t="s">
        <v>57</v>
      </c>
      <c r="AA15" s="7" t="s">
        <v>36</v>
      </c>
      <c r="AB15" s="7" t="s">
        <v>36</v>
      </c>
      <c r="AC15" s="7" t="s">
        <v>36</v>
      </c>
      <c r="AD15" s="7" t="str">
        <f t="shared" si="2"/>
        <v>WO</v>
      </c>
      <c r="AE15" s="7" t="s">
        <v>36</v>
      </c>
      <c r="AF15" s="7" t="s">
        <v>36</v>
      </c>
      <c r="AG15" s="7" t="s">
        <v>36</v>
      </c>
      <c r="AH15" s="7" t="s">
        <v>36</v>
      </c>
      <c r="AI15" s="7" t="s">
        <v>36</v>
      </c>
      <c r="AJ15" s="7" t="s">
        <v>36</v>
      </c>
      <c r="AK15" s="7" t="str">
        <f t="shared" si="2"/>
        <v>WO</v>
      </c>
      <c r="AL15" s="7" t="s">
        <v>36</v>
      </c>
      <c r="AM15" s="7" t="s">
        <v>56</v>
      </c>
      <c r="AN15" s="7" t="s">
        <v>56</v>
      </c>
      <c r="AO15" s="7"/>
      <c r="AR15" s="7">
        <v>8</v>
      </c>
      <c r="AS15" s="7" t="s">
        <v>43</v>
      </c>
      <c r="AT15" s="7" t="s">
        <v>65</v>
      </c>
      <c r="AU15" s="7">
        <v>1008</v>
      </c>
      <c r="AV15" s="30">
        <f t="shared" si="3"/>
        <v>17</v>
      </c>
      <c r="AW15" s="30">
        <f t="shared" si="8"/>
        <v>7</v>
      </c>
      <c r="AX15" s="30">
        <f t="shared" si="4"/>
        <v>2</v>
      </c>
      <c r="AY15" s="31">
        <f t="shared" si="5"/>
        <v>4</v>
      </c>
      <c r="AZ15" s="31">
        <f t="shared" si="7"/>
        <v>30</v>
      </c>
      <c r="BA15" s="32">
        <f>Table135[[#This Row],[Days]]-Table135[[#This Row],[Absent]]</f>
        <v>23</v>
      </c>
      <c r="BB15" s="33">
        <v>5200</v>
      </c>
      <c r="BC15" s="36">
        <f>Table135[[#This Row],[Salary]]/Table135[[#This Row],[Days]]</f>
        <v>173.33333333333334</v>
      </c>
      <c r="BD15" s="34">
        <f>Table135[[#This Row],[Per Day Salary]]*Table135[[#This Row],[Absent]]</f>
        <v>1213.3333333333335</v>
      </c>
      <c r="BE15" s="33">
        <f>Table135[[#This Row],[Salary]]-Table135[[#This Row],[Deduction ]]</f>
        <v>3986.6666666666665</v>
      </c>
    </row>
    <row r="16" spans="6:66" ht="15" thickBot="1" x14ac:dyDescent="0.4">
      <c r="G16" s="7">
        <v>9</v>
      </c>
      <c r="H16" s="27" t="s">
        <v>44</v>
      </c>
      <c r="I16" s="7">
        <v>1009</v>
      </c>
      <c r="J16" s="15">
        <f t="shared" si="6"/>
        <v>4</v>
      </c>
      <c r="K16" s="7" t="s">
        <v>36</v>
      </c>
      <c r="L16" s="7" t="s">
        <v>36</v>
      </c>
      <c r="M16" s="7" t="s">
        <v>36</v>
      </c>
      <c r="N16" s="7" t="s">
        <v>36</v>
      </c>
      <c r="O16" s="7" t="s">
        <v>36</v>
      </c>
      <c r="P16" s="7" t="s">
        <v>58</v>
      </c>
      <c r="Q16" s="7" t="s">
        <v>56</v>
      </c>
      <c r="R16" s="7" t="s">
        <v>56</v>
      </c>
      <c r="S16" s="7" t="s">
        <v>56</v>
      </c>
      <c r="T16" s="7" t="s">
        <v>57</v>
      </c>
      <c r="U16" s="7" t="s">
        <v>36</v>
      </c>
      <c r="V16" s="7" t="s">
        <v>36</v>
      </c>
      <c r="W16" s="7" t="s">
        <v>58</v>
      </c>
      <c r="X16" s="7" t="s">
        <v>56</v>
      </c>
      <c r="Y16" s="7" t="s">
        <v>56</v>
      </c>
      <c r="Z16" s="7" t="s">
        <v>57</v>
      </c>
      <c r="AA16" s="7" t="s">
        <v>36</v>
      </c>
      <c r="AB16" s="7" t="s">
        <v>36</v>
      </c>
      <c r="AC16" s="7" t="s">
        <v>36</v>
      </c>
      <c r="AD16" s="7" t="str">
        <f t="shared" si="2"/>
        <v>WO</v>
      </c>
      <c r="AE16" s="7" t="s">
        <v>36</v>
      </c>
      <c r="AF16" s="7" t="s">
        <v>36</v>
      </c>
      <c r="AG16" s="7" t="s">
        <v>36</v>
      </c>
      <c r="AH16" s="7" t="s">
        <v>36</v>
      </c>
      <c r="AI16" s="7" t="s">
        <v>36</v>
      </c>
      <c r="AJ16" s="7" t="s">
        <v>36</v>
      </c>
      <c r="AK16" s="7" t="str">
        <f t="shared" ref="AK16" si="9">IF(AK$6="Sun","WO","")</f>
        <v>WO</v>
      </c>
      <c r="AL16" s="7" t="s">
        <v>36</v>
      </c>
      <c r="AM16" s="7" t="s">
        <v>56</v>
      </c>
      <c r="AN16" s="7" t="s">
        <v>56</v>
      </c>
      <c r="AO16" s="7"/>
      <c r="AR16" s="7">
        <v>9</v>
      </c>
      <c r="AS16" s="7" t="s">
        <v>44</v>
      </c>
      <c r="AT16" s="7" t="s">
        <v>65</v>
      </c>
      <c r="AU16" s="7">
        <v>1009</v>
      </c>
      <c r="AV16" s="30">
        <f t="shared" si="3"/>
        <v>17</v>
      </c>
      <c r="AW16" s="30">
        <f t="shared" si="8"/>
        <v>7</v>
      </c>
      <c r="AX16" s="30">
        <f t="shared" si="4"/>
        <v>2</v>
      </c>
      <c r="AY16" s="31">
        <f t="shared" si="5"/>
        <v>4</v>
      </c>
      <c r="AZ16" s="31">
        <f t="shared" si="7"/>
        <v>30</v>
      </c>
      <c r="BA16" s="32">
        <f>Table135[[#This Row],[Days]]-Table135[[#This Row],[Absent]]</f>
        <v>23</v>
      </c>
      <c r="BB16" s="33">
        <v>5300</v>
      </c>
      <c r="BC16" s="36">
        <f>Table135[[#This Row],[Salary]]/Table135[[#This Row],[Days]]</f>
        <v>176.66666666666666</v>
      </c>
      <c r="BD16" s="34">
        <f>Table135[[#This Row],[Per Day Salary]]*Table135[[#This Row],[Absent]]</f>
        <v>1236.6666666666665</v>
      </c>
      <c r="BE16" s="33">
        <f>Table135[[#This Row],[Salary]]-Table135[[#This Row],[Deduction ]]</f>
        <v>4063.3333333333335</v>
      </c>
    </row>
    <row r="17" spans="7:60" ht="14.15" customHeight="1" thickBot="1" x14ac:dyDescent="0.4">
      <c r="G17" s="7">
        <v>10</v>
      </c>
      <c r="H17" s="27" t="s">
        <v>45</v>
      </c>
      <c r="I17" s="7">
        <v>1010</v>
      </c>
      <c r="J17" s="15">
        <f t="shared" si="6"/>
        <v>4</v>
      </c>
      <c r="K17" s="7" t="s">
        <v>36</v>
      </c>
      <c r="L17" s="7" t="s">
        <v>36</v>
      </c>
      <c r="M17" s="7" t="s">
        <v>36</v>
      </c>
      <c r="N17" s="7" t="s">
        <v>36</v>
      </c>
      <c r="O17" s="7" t="s">
        <v>36</v>
      </c>
      <c r="P17" s="7" t="s">
        <v>58</v>
      </c>
      <c r="Q17" s="7" t="s">
        <v>56</v>
      </c>
      <c r="R17" s="7" t="s">
        <v>56</v>
      </c>
      <c r="S17" s="7" t="s">
        <v>56</v>
      </c>
      <c r="T17" s="7" t="s">
        <v>57</v>
      </c>
      <c r="U17" s="7" t="s">
        <v>36</v>
      </c>
      <c r="V17" s="7" t="s">
        <v>36</v>
      </c>
      <c r="W17" s="7" t="s">
        <v>58</v>
      </c>
      <c r="X17" s="7" t="s">
        <v>56</v>
      </c>
      <c r="Y17" s="7" t="s">
        <v>56</v>
      </c>
      <c r="Z17" s="7" t="s">
        <v>57</v>
      </c>
      <c r="AA17" s="7" t="s">
        <v>36</v>
      </c>
      <c r="AB17" s="7" t="s">
        <v>36</v>
      </c>
      <c r="AC17" s="7" t="s">
        <v>36</v>
      </c>
      <c r="AD17" s="7" t="str">
        <f t="shared" ref="AD17:AK27" si="10">IF(AD$6="Sun","WO","")</f>
        <v>WO</v>
      </c>
      <c r="AE17" s="7" t="s">
        <v>36</v>
      </c>
      <c r="AF17" s="7" t="s">
        <v>36</v>
      </c>
      <c r="AG17" s="7" t="s">
        <v>36</v>
      </c>
      <c r="AH17" s="7" t="s">
        <v>36</v>
      </c>
      <c r="AI17" s="7" t="s">
        <v>36</v>
      </c>
      <c r="AJ17" s="7" t="s">
        <v>36</v>
      </c>
      <c r="AK17" s="7" t="str">
        <f t="shared" si="10"/>
        <v>WO</v>
      </c>
      <c r="AL17" s="7" t="s">
        <v>36</v>
      </c>
      <c r="AM17" s="7" t="s">
        <v>56</v>
      </c>
      <c r="AN17" s="7" t="s">
        <v>56</v>
      </c>
      <c r="AO17" s="7"/>
      <c r="AR17" s="7">
        <v>10</v>
      </c>
      <c r="AS17" s="7" t="s">
        <v>45</v>
      </c>
      <c r="AT17" s="7" t="s">
        <v>65</v>
      </c>
      <c r="AU17" s="7">
        <v>1010</v>
      </c>
      <c r="AV17" s="30">
        <f t="shared" si="3"/>
        <v>17</v>
      </c>
      <c r="AW17" s="30">
        <f t="shared" si="8"/>
        <v>7</v>
      </c>
      <c r="AX17" s="30">
        <f t="shared" si="4"/>
        <v>2</v>
      </c>
      <c r="AY17" s="31">
        <f t="shared" si="5"/>
        <v>4</v>
      </c>
      <c r="AZ17" s="31">
        <f t="shared" si="7"/>
        <v>30</v>
      </c>
      <c r="BA17" s="32">
        <f>Table135[[#This Row],[Days]]-Table135[[#This Row],[Absent]]</f>
        <v>23</v>
      </c>
      <c r="BB17" s="33">
        <v>5400</v>
      </c>
      <c r="BC17" s="36">
        <f>Table135[[#This Row],[Salary]]/Table135[[#This Row],[Days]]</f>
        <v>180</v>
      </c>
      <c r="BD17" s="34">
        <f>Table135[[#This Row],[Per Day Salary]]*Table135[[#This Row],[Absent]]</f>
        <v>1260</v>
      </c>
      <c r="BE17" s="33">
        <f>Table135[[#This Row],[Salary]]-Table135[[#This Row],[Deduction ]]</f>
        <v>4140</v>
      </c>
      <c r="BH17" s="19"/>
    </row>
    <row r="18" spans="7:60" x14ac:dyDescent="0.35">
      <c r="G18" s="7">
        <v>11</v>
      </c>
      <c r="H18" s="27" t="s">
        <v>46</v>
      </c>
      <c r="I18" s="7">
        <v>1011</v>
      </c>
      <c r="J18" s="15">
        <f t="shared" si="6"/>
        <v>4</v>
      </c>
      <c r="K18" s="7" t="s">
        <v>36</v>
      </c>
      <c r="L18" s="7" t="s">
        <v>36</v>
      </c>
      <c r="M18" s="7" t="s">
        <v>36</v>
      </c>
      <c r="N18" s="7" t="s">
        <v>36</v>
      </c>
      <c r="O18" s="7" t="s">
        <v>36</v>
      </c>
      <c r="P18" s="7" t="s">
        <v>58</v>
      </c>
      <c r="Q18" s="7" t="s">
        <v>56</v>
      </c>
      <c r="R18" s="7" t="s">
        <v>56</v>
      </c>
      <c r="S18" s="7" t="s">
        <v>56</v>
      </c>
      <c r="T18" s="7" t="s">
        <v>57</v>
      </c>
      <c r="U18" s="7" t="s">
        <v>36</v>
      </c>
      <c r="V18" s="7" t="s">
        <v>36</v>
      </c>
      <c r="W18" s="7" t="s">
        <v>58</v>
      </c>
      <c r="X18" s="7" t="s">
        <v>56</v>
      </c>
      <c r="Y18" s="7" t="s">
        <v>56</v>
      </c>
      <c r="Z18" s="7" t="s">
        <v>57</v>
      </c>
      <c r="AA18" s="7" t="s">
        <v>36</v>
      </c>
      <c r="AB18" s="7" t="s">
        <v>36</v>
      </c>
      <c r="AC18" s="7" t="s">
        <v>36</v>
      </c>
      <c r="AD18" s="7" t="str">
        <f t="shared" si="10"/>
        <v>WO</v>
      </c>
      <c r="AE18" s="7" t="s">
        <v>36</v>
      </c>
      <c r="AF18" s="7" t="s">
        <v>36</v>
      </c>
      <c r="AG18" s="7" t="s">
        <v>36</v>
      </c>
      <c r="AH18" s="7" t="s">
        <v>36</v>
      </c>
      <c r="AI18" s="7" t="s">
        <v>36</v>
      </c>
      <c r="AJ18" s="7" t="s">
        <v>36</v>
      </c>
      <c r="AK18" s="7" t="str">
        <f t="shared" si="10"/>
        <v>WO</v>
      </c>
      <c r="AL18" s="7" t="s">
        <v>36</v>
      </c>
      <c r="AM18" s="7" t="s">
        <v>56</v>
      </c>
      <c r="AN18" s="7" t="s">
        <v>56</v>
      </c>
      <c r="AO18" s="7"/>
      <c r="AR18" s="7">
        <v>11</v>
      </c>
      <c r="AS18" s="7" t="s">
        <v>46</v>
      </c>
      <c r="AT18" s="7" t="s">
        <v>65</v>
      </c>
      <c r="AU18" s="7">
        <v>1011</v>
      </c>
      <c r="AV18" s="30">
        <f t="shared" si="3"/>
        <v>17</v>
      </c>
      <c r="AW18" s="30">
        <f t="shared" si="8"/>
        <v>7</v>
      </c>
      <c r="AX18" s="30">
        <f t="shared" si="4"/>
        <v>2</v>
      </c>
      <c r="AY18" s="31">
        <f t="shared" si="5"/>
        <v>4</v>
      </c>
      <c r="AZ18" s="31">
        <f t="shared" si="7"/>
        <v>30</v>
      </c>
      <c r="BA18" s="32">
        <f>Table135[[#This Row],[Days]]-Table135[[#This Row],[Absent]]</f>
        <v>23</v>
      </c>
      <c r="BB18" s="33">
        <v>5500</v>
      </c>
      <c r="BC18" s="36">
        <f>Table135[[#This Row],[Salary]]/Table135[[#This Row],[Days]]</f>
        <v>183.33333333333334</v>
      </c>
      <c r="BD18" s="34">
        <f>Table135[[#This Row],[Per Day Salary]]*Table135[[#This Row],[Absent]]</f>
        <v>1283.3333333333335</v>
      </c>
      <c r="BE18" s="33">
        <f>Table135[[#This Row],[Salary]]-Table135[[#This Row],[Deduction ]]</f>
        <v>4216.6666666666661</v>
      </c>
    </row>
    <row r="19" spans="7:60" x14ac:dyDescent="0.35">
      <c r="G19" s="7">
        <v>12</v>
      </c>
      <c r="H19" s="27" t="s">
        <v>47</v>
      </c>
      <c r="I19" s="7">
        <v>1012</v>
      </c>
      <c r="J19" s="15">
        <f t="shared" si="6"/>
        <v>4</v>
      </c>
      <c r="K19" s="7" t="s">
        <v>36</v>
      </c>
      <c r="L19" s="7" t="s">
        <v>36</v>
      </c>
      <c r="M19" s="7" t="s">
        <v>36</v>
      </c>
      <c r="N19" s="7" t="s">
        <v>36</v>
      </c>
      <c r="O19" s="7" t="s">
        <v>36</v>
      </c>
      <c r="P19" s="7" t="s">
        <v>58</v>
      </c>
      <c r="Q19" s="7" t="s">
        <v>56</v>
      </c>
      <c r="R19" s="7" t="s">
        <v>56</v>
      </c>
      <c r="S19" s="7" t="s">
        <v>56</v>
      </c>
      <c r="T19" s="7" t="s">
        <v>57</v>
      </c>
      <c r="U19" s="7" t="s">
        <v>36</v>
      </c>
      <c r="V19" s="7" t="s">
        <v>36</v>
      </c>
      <c r="W19" s="7" t="s">
        <v>58</v>
      </c>
      <c r="X19" s="7" t="s">
        <v>56</v>
      </c>
      <c r="Y19" s="7" t="s">
        <v>56</v>
      </c>
      <c r="Z19" s="7" t="s">
        <v>57</v>
      </c>
      <c r="AA19" s="7" t="s">
        <v>36</v>
      </c>
      <c r="AB19" s="7" t="s">
        <v>36</v>
      </c>
      <c r="AC19" s="7" t="s">
        <v>36</v>
      </c>
      <c r="AD19" s="7" t="str">
        <f t="shared" si="10"/>
        <v>WO</v>
      </c>
      <c r="AE19" s="7" t="s">
        <v>36</v>
      </c>
      <c r="AF19" s="7" t="s">
        <v>36</v>
      </c>
      <c r="AG19" s="7" t="s">
        <v>36</v>
      </c>
      <c r="AH19" s="7" t="s">
        <v>36</v>
      </c>
      <c r="AI19" s="7" t="s">
        <v>36</v>
      </c>
      <c r="AJ19" s="7" t="s">
        <v>36</v>
      </c>
      <c r="AK19" s="7" t="str">
        <f t="shared" si="10"/>
        <v>WO</v>
      </c>
      <c r="AL19" s="7" t="s">
        <v>36</v>
      </c>
      <c r="AM19" s="7" t="s">
        <v>56</v>
      </c>
      <c r="AN19" s="7" t="s">
        <v>56</v>
      </c>
      <c r="AO19" s="7"/>
      <c r="AR19" s="7">
        <v>12</v>
      </c>
      <c r="AS19" s="7" t="s">
        <v>47</v>
      </c>
      <c r="AT19" s="7" t="s">
        <v>65</v>
      </c>
      <c r="AU19" s="7">
        <v>1012</v>
      </c>
      <c r="AV19" s="30">
        <f t="shared" si="3"/>
        <v>17</v>
      </c>
      <c r="AW19" s="30">
        <f t="shared" si="8"/>
        <v>7</v>
      </c>
      <c r="AX19" s="30">
        <f t="shared" si="4"/>
        <v>2</v>
      </c>
      <c r="AY19" s="31">
        <f t="shared" si="5"/>
        <v>4</v>
      </c>
      <c r="AZ19" s="31">
        <f t="shared" si="7"/>
        <v>30</v>
      </c>
      <c r="BA19" s="32">
        <f>Table135[[#This Row],[Days]]-Table135[[#This Row],[Absent]]</f>
        <v>23</v>
      </c>
      <c r="BB19" s="33">
        <v>5600</v>
      </c>
      <c r="BC19" s="36">
        <f>Table135[[#This Row],[Salary]]/Table135[[#This Row],[Days]]</f>
        <v>186.66666666666666</v>
      </c>
      <c r="BD19" s="34">
        <f>Table135[[#This Row],[Per Day Salary]]*Table135[[#This Row],[Absent]]</f>
        <v>1306.6666666666665</v>
      </c>
      <c r="BE19" s="33">
        <f>Table135[[#This Row],[Salary]]-Table135[[#This Row],[Deduction ]]</f>
        <v>4293.3333333333339</v>
      </c>
    </row>
    <row r="20" spans="7:60" x14ac:dyDescent="0.35">
      <c r="G20" s="7">
        <v>13</v>
      </c>
      <c r="H20" s="27" t="s">
        <v>48</v>
      </c>
      <c r="I20" s="7">
        <v>1013</v>
      </c>
      <c r="J20" s="15">
        <f t="shared" si="6"/>
        <v>4</v>
      </c>
      <c r="K20" s="7" t="s">
        <v>36</v>
      </c>
      <c r="L20" s="7" t="s">
        <v>36</v>
      </c>
      <c r="M20" s="7" t="s">
        <v>36</v>
      </c>
      <c r="N20" s="7" t="s">
        <v>36</v>
      </c>
      <c r="O20" s="7" t="s">
        <v>36</v>
      </c>
      <c r="P20" s="7" t="s">
        <v>58</v>
      </c>
      <c r="Q20" s="7" t="s">
        <v>56</v>
      </c>
      <c r="R20" s="7" t="s">
        <v>56</v>
      </c>
      <c r="S20" s="7" t="s">
        <v>56</v>
      </c>
      <c r="T20" s="7" t="s">
        <v>57</v>
      </c>
      <c r="U20" s="7" t="s">
        <v>36</v>
      </c>
      <c r="V20" s="7" t="s">
        <v>36</v>
      </c>
      <c r="W20" s="7" t="s">
        <v>58</v>
      </c>
      <c r="X20" s="7" t="s">
        <v>56</v>
      </c>
      <c r="Y20" s="7" t="s">
        <v>56</v>
      </c>
      <c r="Z20" s="7" t="s">
        <v>57</v>
      </c>
      <c r="AA20" s="7" t="s">
        <v>36</v>
      </c>
      <c r="AB20" s="7" t="s">
        <v>36</v>
      </c>
      <c r="AC20" s="7" t="s">
        <v>36</v>
      </c>
      <c r="AD20" s="7" t="str">
        <f t="shared" si="10"/>
        <v>WO</v>
      </c>
      <c r="AE20" s="7" t="s">
        <v>36</v>
      </c>
      <c r="AF20" s="7" t="s">
        <v>36</v>
      </c>
      <c r="AG20" s="7" t="s">
        <v>36</v>
      </c>
      <c r="AH20" s="7" t="s">
        <v>36</v>
      </c>
      <c r="AI20" s="7" t="s">
        <v>36</v>
      </c>
      <c r="AJ20" s="7" t="s">
        <v>36</v>
      </c>
      <c r="AK20" s="7" t="str">
        <f t="shared" si="10"/>
        <v>WO</v>
      </c>
      <c r="AL20" s="7" t="s">
        <v>36</v>
      </c>
      <c r="AM20" s="7" t="s">
        <v>56</v>
      </c>
      <c r="AN20" s="7" t="s">
        <v>56</v>
      </c>
      <c r="AO20" s="7"/>
      <c r="AR20" s="7">
        <v>13</v>
      </c>
      <c r="AS20" s="7" t="s">
        <v>48</v>
      </c>
      <c r="AT20" s="7" t="s">
        <v>65</v>
      </c>
      <c r="AU20" s="7">
        <v>1013</v>
      </c>
      <c r="AV20" s="30">
        <f t="shared" si="3"/>
        <v>17</v>
      </c>
      <c r="AW20" s="30">
        <f t="shared" si="8"/>
        <v>7</v>
      </c>
      <c r="AX20" s="30">
        <f t="shared" si="4"/>
        <v>2</v>
      </c>
      <c r="AY20" s="31">
        <f t="shared" si="5"/>
        <v>4</v>
      </c>
      <c r="AZ20" s="31">
        <f t="shared" si="7"/>
        <v>30</v>
      </c>
      <c r="BA20" s="32">
        <f>Table135[[#This Row],[Days]]-Table135[[#This Row],[Absent]]</f>
        <v>23</v>
      </c>
      <c r="BB20" s="33">
        <v>5700</v>
      </c>
      <c r="BC20" s="36">
        <f>Table135[[#This Row],[Salary]]/Table135[[#This Row],[Days]]</f>
        <v>190</v>
      </c>
      <c r="BD20" s="34">
        <f>Table135[[#This Row],[Per Day Salary]]*Table135[[#This Row],[Absent]]</f>
        <v>1330</v>
      </c>
      <c r="BE20" s="33">
        <f>Table135[[#This Row],[Salary]]-Table135[[#This Row],[Deduction ]]</f>
        <v>4370</v>
      </c>
    </row>
    <row r="21" spans="7:60" x14ac:dyDescent="0.35">
      <c r="G21" s="7">
        <v>14</v>
      </c>
      <c r="H21" s="27" t="s">
        <v>49</v>
      </c>
      <c r="I21" s="7">
        <v>1014</v>
      </c>
      <c r="J21" s="15">
        <f t="shared" si="6"/>
        <v>4</v>
      </c>
      <c r="K21" s="7" t="s">
        <v>36</v>
      </c>
      <c r="L21" s="7" t="s">
        <v>36</v>
      </c>
      <c r="M21" s="7" t="s">
        <v>36</v>
      </c>
      <c r="N21" s="7" t="s">
        <v>36</v>
      </c>
      <c r="O21" s="7" t="s">
        <v>36</v>
      </c>
      <c r="P21" s="7" t="s">
        <v>58</v>
      </c>
      <c r="Q21" s="7" t="s">
        <v>56</v>
      </c>
      <c r="R21" s="7" t="s">
        <v>56</v>
      </c>
      <c r="S21" s="7" t="s">
        <v>56</v>
      </c>
      <c r="T21" s="7" t="s">
        <v>57</v>
      </c>
      <c r="U21" s="7" t="s">
        <v>36</v>
      </c>
      <c r="V21" s="7" t="s">
        <v>36</v>
      </c>
      <c r="W21" s="7" t="s">
        <v>58</v>
      </c>
      <c r="X21" s="7" t="s">
        <v>56</v>
      </c>
      <c r="Y21" s="7" t="s">
        <v>56</v>
      </c>
      <c r="Z21" s="7" t="s">
        <v>57</v>
      </c>
      <c r="AA21" s="7" t="s">
        <v>36</v>
      </c>
      <c r="AB21" s="7" t="s">
        <v>36</v>
      </c>
      <c r="AC21" s="7" t="s">
        <v>36</v>
      </c>
      <c r="AD21" s="7" t="str">
        <f t="shared" si="10"/>
        <v>WO</v>
      </c>
      <c r="AE21" s="7" t="s">
        <v>36</v>
      </c>
      <c r="AF21" s="7" t="s">
        <v>36</v>
      </c>
      <c r="AG21" s="7" t="s">
        <v>36</v>
      </c>
      <c r="AH21" s="7" t="s">
        <v>36</v>
      </c>
      <c r="AI21" s="7" t="s">
        <v>36</v>
      </c>
      <c r="AJ21" s="7" t="s">
        <v>36</v>
      </c>
      <c r="AK21" s="7" t="str">
        <f t="shared" si="10"/>
        <v>WO</v>
      </c>
      <c r="AL21" s="7" t="s">
        <v>36</v>
      </c>
      <c r="AM21" s="7" t="s">
        <v>56</v>
      </c>
      <c r="AN21" s="7" t="s">
        <v>56</v>
      </c>
      <c r="AO21" s="7"/>
      <c r="AR21" s="7">
        <v>14</v>
      </c>
      <c r="AS21" s="7" t="s">
        <v>49</v>
      </c>
      <c r="AT21" s="7" t="s">
        <v>65</v>
      </c>
      <c r="AU21" s="7">
        <v>1014</v>
      </c>
      <c r="AV21" s="30">
        <f t="shared" si="3"/>
        <v>17</v>
      </c>
      <c r="AW21" s="30">
        <f t="shared" si="8"/>
        <v>7</v>
      </c>
      <c r="AX21" s="30">
        <f t="shared" si="4"/>
        <v>2</v>
      </c>
      <c r="AY21" s="31">
        <f t="shared" si="5"/>
        <v>4</v>
      </c>
      <c r="AZ21" s="31">
        <f t="shared" si="7"/>
        <v>30</v>
      </c>
      <c r="BA21" s="32">
        <f>Table135[[#This Row],[Days]]-Table135[[#This Row],[Absent]]</f>
        <v>23</v>
      </c>
      <c r="BB21" s="33">
        <v>5800</v>
      </c>
      <c r="BC21" s="36">
        <f>Table135[[#This Row],[Salary]]/Table135[[#This Row],[Days]]</f>
        <v>193.33333333333334</v>
      </c>
      <c r="BD21" s="34">
        <f>Table135[[#This Row],[Per Day Salary]]*Table135[[#This Row],[Absent]]</f>
        <v>1353.3333333333335</v>
      </c>
      <c r="BE21" s="33">
        <f>Table135[[#This Row],[Salary]]-Table135[[#This Row],[Deduction ]]</f>
        <v>4446.6666666666661</v>
      </c>
    </row>
    <row r="22" spans="7:60" x14ac:dyDescent="0.35">
      <c r="G22" s="7">
        <v>15</v>
      </c>
      <c r="H22" s="27" t="s">
        <v>50</v>
      </c>
      <c r="I22" s="7">
        <v>1015</v>
      </c>
      <c r="J22" s="15">
        <f t="shared" si="6"/>
        <v>4</v>
      </c>
      <c r="K22" s="7" t="s">
        <v>36</v>
      </c>
      <c r="L22" s="7" t="s">
        <v>36</v>
      </c>
      <c r="M22" s="7" t="s">
        <v>36</v>
      </c>
      <c r="N22" s="7" t="s">
        <v>36</v>
      </c>
      <c r="O22" s="7" t="s">
        <v>36</v>
      </c>
      <c r="P22" s="7" t="s">
        <v>58</v>
      </c>
      <c r="Q22" s="7" t="s">
        <v>56</v>
      </c>
      <c r="R22" s="7" t="s">
        <v>56</v>
      </c>
      <c r="S22" s="7" t="s">
        <v>56</v>
      </c>
      <c r="T22" s="7" t="s">
        <v>57</v>
      </c>
      <c r="U22" s="7" t="s">
        <v>36</v>
      </c>
      <c r="V22" s="7" t="s">
        <v>36</v>
      </c>
      <c r="W22" s="7" t="s">
        <v>58</v>
      </c>
      <c r="X22" s="7" t="s">
        <v>56</v>
      </c>
      <c r="Y22" s="7" t="s">
        <v>56</v>
      </c>
      <c r="Z22" s="7" t="s">
        <v>57</v>
      </c>
      <c r="AA22" s="7" t="s">
        <v>36</v>
      </c>
      <c r="AB22" s="7" t="s">
        <v>36</v>
      </c>
      <c r="AC22" s="7" t="s">
        <v>36</v>
      </c>
      <c r="AD22" s="7" t="str">
        <f t="shared" si="10"/>
        <v>WO</v>
      </c>
      <c r="AE22" s="7" t="s">
        <v>36</v>
      </c>
      <c r="AF22" s="7" t="s">
        <v>36</v>
      </c>
      <c r="AG22" s="7" t="s">
        <v>36</v>
      </c>
      <c r="AH22" s="7" t="s">
        <v>36</v>
      </c>
      <c r="AI22" s="7" t="s">
        <v>36</v>
      </c>
      <c r="AJ22" s="7" t="s">
        <v>36</v>
      </c>
      <c r="AK22" s="7" t="str">
        <f t="shared" si="10"/>
        <v>WO</v>
      </c>
      <c r="AL22" s="7" t="s">
        <v>36</v>
      </c>
      <c r="AM22" s="7" t="s">
        <v>56</v>
      </c>
      <c r="AN22" s="7" t="s">
        <v>56</v>
      </c>
      <c r="AO22" s="7"/>
      <c r="AR22" s="7">
        <v>15</v>
      </c>
      <c r="AS22" s="7" t="s">
        <v>50</v>
      </c>
      <c r="AT22" s="7" t="s">
        <v>65</v>
      </c>
      <c r="AU22" s="7">
        <v>1015</v>
      </c>
      <c r="AV22" s="30">
        <f t="shared" si="3"/>
        <v>17</v>
      </c>
      <c r="AW22" s="30">
        <f t="shared" si="8"/>
        <v>7</v>
      </c>
      <c r="AX22" s="30">
        <f t="shared" si="4"/>
        <v>2</v>
      </c>
      <c r="AY22" s="31">
        <f t="shared" si="5"/>
        <v>4</v>
      </c>
      <c r="AZ22" s="31">
        <f t="shared" si="7"/>
        <v>30</v>
      </c>
      <c r="BA22" s="32">
        <f>Table135[[#This Row],[Days]]-Table135[[#This Row],[Absent]]</f>
        <v>23</v>
      </c>
      <c r="BB22" s="33">
        <v>5900</v>
      </c>
      <c r="BC22" s="36">
        <f>Table135[[#This Row],[Salary]]/Table135[[#This Row],[Days]]</f>
        <v>196.66666666666666</v>
      </c>
      <c r="BD22" s="34">
        <f>Table135[[#This Row],[Per Day Salary]]*Table135[[#This Row],[Absent]]</f>
        <v>1376.6666666666665</v>
      </c>
      <c r="BE22" s="33">
        <f>Table135[[#This Row],[Salary]]-Table135[[#This Row],[Deduction ]]</f>
        <v>4523.3333333333339</v>
      </c>
    </row>
    <row r="23" spans="7:60" x14ac:dyDescent="0.35">
      <c r="G23" s="7">
        <v>16</v>
      </c>
      <c r="H23" s="27" t="s">
        <v>51</v>
      </c>
      <c r="I23" s="7">
        <v>1016</v>
      </c>
      <c r="J23" s="15">
        <f t="shared" si="6"/>
        <v>4</v>
      </c>
      <c r="K23" s="7" t="s">
        <v>36</v>
      </c>
      <c r="L23" s="7" t="s">
        <v>36</v>
      </c>
      <c r="M23" s="7" t="s">
        <v>36</v>
      </c>
      <c r="N23" s="7" t="s">
        <v>36</v>
      </c>
      <c r="O23" s="7" t="s">
        <v>36</v>
      </c>
      <c r="P23" s="7" t="s">
        <v>58</v>
      </c>
      <c r="Q23" s="7" t="s">
        <v>56</v>
      </c>
      <c r="R23" s="7" t="s">
        <v>56</v>
      </c>
      <c r="S23" s="7" t="s">
        <v>56</v>
      </c>
      <c r="T23" s="7" t="s">
        <v>57</v>
      </c>
      <c r="U23" s="7" t="s">
        <v>36</v>
      </c>
      <c r="V23" s="7" t="s">
        <v>36</v>
      </c>
      <c r="W23" s="7" t="s">
        <v>58</v>
      </c>
      <c r="X23" s="7" t="s">
        <v>56</v>
      </c>
      <c r="Y23" s="7" t="s">
        <v>56</v>
      </c>
      <c r="Z23" s="7" t="s">
        <v>57</v>
      </c>
      <c r="AA23" s="7" t="s">
        <v>36</v>
      </c>
      <c r="AB23" s="7" t="s">
        <v>36</v>
      </c>
      <c r="AC23" s="7" t="s">
        <v>36</v>
      </c>
      <c r="AD23" s="7" t="str">
        <f t="shared" si="10"/>
        <v>WO</v>
      </c>
      <c r="AE23" s="7" t="s">
        <v>36</v>
      </c>
      <c r="AF23" s="7" t="s">
        <v>36</v>
      </c>
      <c r="AG23" s="7" t="s">
        <v>36</v>
      </c>
      <c r="AH23" s="7" t="s">
        <v>36</v>
      </c>
      <c r="AI23" s="7" t="s">
        <v>36</v>
      </c>
      <c r="AJ23" s="7" t="s">
        <v>36</v>
      </c>
      <c r="AK23" s="7" t="str">
        <f t="shared" si="10"/>
        <v>WO</v>
      </c>
      <c r="AL23" s="7" t="s">
        <v>36</v>
      </c>
      <c r="AM23" s="7" t="s">
        <v>56</v>
      </c>
      <c r="AN23" s="7" t="s">
        <v>56</v>
      </c>
      <c r="AO23" s="7"/>
      <c r="AR23" s="7">
        <v>16</v>
      </c>
      <c r="AS23" s="7" t="s">
        <v>51</v>
      </c>
      <c r="AT23" s="7" t="s">
        <v>65</v>
      </c>
      <c r="AU23" s="7">
        <v>1016</v>
      </c>
      <c r="AV23" s="30">
        <f t="shared" si="3"/>
        <v>17</v>
      </c>
      <c r="AW23" s="30">
        <f t="shared" si="8"/>
        <v>7</v>
      </c>
      <c r="AX23" s="30">
        <f t="shared" si="4"/>
        <v>2</v>
      </c>
      <c r="AY23" s="31">
        <f t="shared" si="5"/>
        <v>4</v>
      </c>
      <c r="AZ23" s="31">
        <f t="shared" si="7"/>
        <v>30</v>
      </c>
      <c r="BA23" s="32">
        <f>Table135[[#This Row],[Days]]-Table135[[#This Row],[Absent]]</f>
        <v>23</v>
      </c>
      <c r="BB23" s="33">
        <v>6000</v>
      </c>
      <c r="BC23" s="36">
        <f>Table135[[#This Row],[Salary]]/Table135[[#This Row],[Days]]</f>
        <v>200</v>
      </c>
      <c r="BD23" s="34">
        <f>Table135[[#This Row],[Per Day Salary]]*Table135[[#This Row],[Absent]]</f>
        <v>1400</v>
      </c>
      <c r="BE23" s="33">
        <f>Table135[[#This Row],[Salary]]-Table135[[#This Row],[Deduction ]]</f>
        <v>4600</v>
      </c>
    </row>
    <row r="24" spans="7:60" x14ac:dyDescent="0.35">
      <c r="G24" s="7">
        <v>17</v>
      </c>
      <c r="H24" s="27" t="s">
        <v>52</v>
      </c>
      <c r="I24" s="7">
        <v>1017</v>
      </c>
      <c r="J24" s="15">
        <f t="shared" si="6"/>
        <v>4</v>
      </c>
      <c r="K24" s="7" t="s">
        <v>36</v>
      </c>
      <c r="L24" s="7" t="s">
        <v>36</v>
      </c>
      <c r="M24" s="7" t="s">
        <v>36</v>
      </c>
      <c r="N24" s="7" t="s">
        <v>36</v>
      </c>
      <c r="O24" s="7" t="s">
        <v>36</v>
      </c>
      <c r="P24" s="7" t="s">
        <v>58</v>
      </c>
      <c r="Q24" s="7" t="s">
        <v>56</v>
      </c>
      <c r="R24" s="7" t="s">
        <v>56</v>
      </c>
      <c r="S24" s="7" t="s">
        <v>56</v>
      </c>
      <c r="T24" s="7" t="s">
        <v>57</v>
      </c>
      <c r="U24" s="7" t="s">
        <v>36</v>
      </c>
      <c r="V24" s="7" t="s">
        <v>36</v>
      </c>
      <c r="W24" s="7" t="s">
        <v>58</v>
      </c>
      <c r="X24" s="7" t="s">
        <v>56</v>
      </c>
      <c r="Y24" s="7" t="s">
        <v>56</v>
      </c>
      <c r="Z24" s="7" t="s">
        <v>57</v>
      </c>
      <c r="AA24" s="7" t="s">
        <v>36</v>
      </c>
      <c r="AB24" s="7" t="s">
        <v>36</v>
      </c>
      <c r="AC24" s="7" t="s">
        <v>36</v>
      </c>
      <c r="AD24" s="7" t="str">
        <f t="shared" si="10"/>
        <v>WO</v>
      </c>
      <c r="AE24" s="7" t="s">
        <v>36</v>
      </c>
      <c r="AF24" s="7" t="s">
        <v>36</v>
      </c>
      <c r="AG24" s="7" t="s">
        <v>36</v>
      </c>
      <c r="AH24" s="7" t="s">
        <v>36</v>
      </c>
      <c r="AI24" s="7" t="s">
        <v>36</v>
      </c>
      <c r="AJ24" s="7" t="s">
        <v>36</v>
      </c>
      <c r="AK24" s="7" t="str">
        <f t="shared" si="10"/>
        <v>WO</v>
      </c>
      <c r="AL24" s="7" t="s">
        <v>36</v>
      </c>
      <c r="AM24" s="7" t="s">
        <v>56</v>
      </c>
      <c r="AN24" s="7" t="s">
        <v>56</v>
      </c>
      <c r="AO24" s="7"/>
      <c r="AR24" s="7">
        <v>17</v>
      </c>
      <c r="AS24" s="7" t="s">
        <v>52</v>
      </c>
      <c r="AT24" s="7" t="s">
        <v>65</v>
      </c>
      <c r="AU24" s="7">
        <v>1017</v>
      </c>
      <c r="AV24" s="30">
        <f t="shared" si="3"/>
        <v>17</v>
      </c>
      <c r="AW24" s="30">
        <f t="shared" si="8"/>
        <v>7</v>
      </c>
      <c r="AX24" s="30">
        <f t="shared" si="4"/>
        <v>2</v>
      </c>
      <c r="AY24" s="31">
        <f t="shared" si="5"/>
        <v>4</v>
      </c>
      <c r="AZ24" s="31">
        <f t="shared" si="7"/>
        <v>30</v>
      </c>
      <c r="BA24" s="1">
        <f>Table135[[#This Row],[Days]]-Table135[[#This Row],[Absent]]</f>
        <v>23</v>
      </c>
      <c r="BB24" s="33">
        <v>6100</v>
      </c>
      <c r="BC24" s="36">
        <f>Table135[[#This Row],[Salary]]/Table135[[#This Row],[Days]]</f>
        <v>203.33333333333334</v>
      </c>
      <c r="BD24" s="34">
        <f>Table135[[#This Row],[Per Day Salary]]*Table135[[#This Row],[Absent]]</f>
        <v>1423.3333333333335</v>
      </c>
      <c r="BE24" s="33">
        <f>Table135[[#This Row],[Salary]]-Table135[[#This Row],[Deduction ]]</f>
        <v>4676.6666666666661</v>
      </c>
    </row>
    <row r="25" spans="7:60" x14ac:dyDescent="0.35">
      <c r="G25" s="7">
        <v>18</v>
      </c>
      <c r="H25" s="27" t="s">
        <v>53</v>
      </c>
      <c r="I25" s="7">
        <v>1018</v>
      </c>
      <c r="J25" s="15">
        <f t="shared" si="6"/>
        <v>4</v>
      </c>
      <c r="K25" s="7" t="s">
        <v>36</v>
      </c>
      <c r="L25" s="7" t="s">
        <v>36</v>
      </c>
      <c r="M25" s="7" t="s">
        <v>36</v>
      </c>
      <c r="N25" s="7" t="s">
        <v>36</v>
      </c>
      <c r="O25" s="7" t="s">
        <v>36</v>
      </c>
      <c r="P25" s="7" t="s">
        <v>58</v>
      </c>
      <c r="Q25" s="7" t="s">
        <v>56</v>
      </c>
      <c r="R25" s="7" t="s">
        <v>56</v>
      </c>
      <c r="S25" s="7" t="s">
        <v>56</v>
      </c>
      <c r="T25" s="7" t="s">
        <v>57</v>
      </c>
      <c r="U25" s="7" t="s">
        <v>36</v>
      </c>
      <c r="V25" s="7" t="s">
        <v>36</v>
      </c>
      <c r="W25" s="7" t="s">
        <v>58</v>
      </c>
      <c r="X25" s="7" t="s">
        <v>56</v>
      </c>
      <c r="Y25" s="7" t="s">
        <v>56</v>
      </c>
      <c r="Z25" s="7" t="s">
        <v>57</v>
      </c>
      <c r="AA25" s="7" t="s">
        <v>36</v>
      </c>
      <c r="AB25" s="7" t="s">
        <v>36</v>
      </c>
      <c r="AC25" s="7" t="s">
        <v>36</v>
      </c>
      <c r="AD25" s="7" t="str">
        <f t="shared" si="10"/>
        <v>WO</v>
      </c>
      <c r="AE25" s="7" t="s">
        <v>36</v>
      </c>
      <c r="AF25" s="7" t="s">
        <v>36</v>
      </c>
      <c r="AG25" s="7" t="s">
        <v>36</v>
      </c>
      <c r="AH25" s="7" t="s">
        <v>36</v>
      </c>
      <c r="AI25" s="7" t="s">
        <v>36</v>
      </c>
      <c r="AJ25" s="7" t="s">
        <v>36</v>
      </c>
      <c r="AK25" s="7" t="str">
        <f t="shared" si="10"/>
        <v>WO</v>
      </c>
      <c r="AL25" s="7" t="s">
        <v>36</v>
      </c>
      <c r="AM25" s="7" t="s">
        <v>56</v>
      </c>
      <c r="AN25" s="7" t="s">
        <v>56</v>
      </c>
      <c r="AO25" s="7"/>
      <c r="AR25" s="7">
        <v>18</v>
      </c>
      <c r="AS25" s="7" t="s">
        <v>53</v>
      </c>
      <c r="AT25" s="7" t="s">
        <v>65</v>
      </c>
      <c r="AU25" s="7">
        <v>1018</v>
      </c>
      <c r="AV25" s="30">
        <f t="shared" si="3"/>
        <v>17</v>
      </c>
      <c r="AW25" s="30">
        <f t="shared" si="8"/>
        <v>7</v>
      </c>
      <c r="AX25" s="30">
        <f t="shared" si="4"/>
        <v>2</v>
      </c>
      <c r="AY25" s="31">
        <f t="shared" si="5"/>
        <v>4</v>
      </c>
      <c r="AZ25" s="31">
        <f t="shared" si="7"/>
        <v>30</v>
      </c>
      <c r="BA25" s="32">
        <f>Table135[[#This Row],[Days]]-Table135[[#This Row],[Absent]]</f>
        <v>23</v>
      </c>
      <c r="BB25" s="33">
        <v>6200</v>
      </c>
      <c r="BC25" s="36">
        <f>Table135[[#This Row],[Salary]]/Table135[[#This Row],[Days]]</f>
        <v>206.66666666666666</v>
      </c>
      <c r="BD25" s="34">
        <f>Table135[[#This Row],[Per Day Salary]]*Table135[[#This Row],[Absent]]</f>
        <v>1446.6666666666665</v>
      </c>
      <c r="BE25" s="33">
        <f>Table135[[#This Row],[Salary]]-Table135[[#This Row],[Deduction ]]</f>
        <v>4753.3333333333339</v>
      </c>
    </row>
    <row r="26" spans="7:60" x14ac:dyDescent="0.35">
      <c r="G26" s="7">
        <v>19</v>
      </c>
      <c r="H26" s="27" t="s">
        <v>54</v>
      </c>
      <c r="I26" s="7">
        <v>1019</v>
      </c>
      <c r="J26" s="15">
        <f t="shared" si="6"/>
        <v>4</v>
      </c>
      <c r="K26" s="7" t="s">
        <v>36</v>
      </c>
      <c r="L26" s="7" t="s">
        <v>36</v>
      </c>
      <c r="M26" s="7" t="s">
        <v>36</v>
      </c>
      <c r="N26" s="7" t="s">
        <v>36</v>
      </c>
      <c r="O26" s="7" t="s">
        <v>36</v>
      </c>
      <c r="P26" s="7" t="s">
        <v>58</v>
      </c>
      <c r="Q26" s="7" t="s">
        <v>56</v>
      </c>
      <c r="R26" s="7" t="s">
        <v>56</v>
      </c>
      <c r="S26" s="7" t="s">
        <v>56</v>
      </c>
      <c r="T26" s="7" t="s">
        <v>57</v>
      </c>
      <c r="U26" s="7" t="s">
        <v>36</v>
      </c>
      <c r="V26" s="7" t="s">
        <v>36</v>
      </c>
      <c r="W26" s="7" t="s">
        <v>58</v>
      </c>
      <c r="X26" s="7" t="s">
        <v>56</v>
      </c>
      <c r="Y26" s="7" t="s">
        <v>56</v>
      </c>
      <c r="Z26" s="7" t="s">
        <v>57</v>
      </c>
      <c r="AA26" s="7" t="s">
        <v>36</v>
      </c>
      <c r="AB26" s="7" t="s">
        <v>36</v>
      </c>
      <c r="AC26" s="7" t="s">
        <v>36</v>
      </c>
      <c r="AD26" s="7" t="str">
        <f t="shared" si="10"/>
        <v>WO</v>
      </c>
      <c r="AE26" s="7" t="s">
        <v>36</v>
      </c>
      <c r="AF26" s="7" t="s">
        <v>36</v>
      </c>
      <c r="AG26" s="7" t="s">
        <v>36</v>
      </c>
      <c r="AH26" s="7" t="s">
        <v>36</v>
      </c>
      <c r="AI26" s="7" t="s">
        <v>36</v>
      </c>
      <c r="AJ26" s="7" t="s">
        <v>36</v>
      </c>
      <c r="AK26" s="7" t="str">
        <f t="shared" si="10"/>
        <v>WO</v>
      </c>
      <c r="AL26" s="7" t="s">
        <v>36</v>
      </c>
      <c r="AM26" s="7" t="s">
        <v>56</v>
      </c>
      <c r="AN26" s="7" t="s">
        <v>56</v>
      </c>
      <c r="AO26" s="7"/>
      <c r="AR26" s="7">
        <v>19</v>
      </c>
      <c r="AS26" s="7" t="s">
        <v>54</v>
      </c>
      <c r="AT26" s="7" t="s">
        <v>65</v>
      </c>
      <c r="AU26" s="7">
        <v>1019</v>
      </c>
      <c r="AV26" s="30">
        <f t="shared" si="3"/>
        <v>17</v>
      </c>
      <c r="AW26" s="30">
        <f t="shared" si="8"/>
        <v>7</v>
      </c>
      <c r="AX26" s="30">
        <f t="shared" si="4"/>
        <v>2</v>
      </c>
      <c r="AY26" s="31">
        <f t="shared" si="5"/>
        <v>4</v>
      </c>
      <c r="AZ26" s="31">
        <f t="shared" si="7"/>
        <v>30</v>
      </c>
      <c r="BA26" s="1">
        <f>Table135[[#This Row],[Days]]-Table135[[#This Row],[Absent]]</f>
        <v>23</v>
      </c>
      <c r="BB26" s="33">
        <v>6300</v>
      </c>
      <c r="BC26" s="36">
        <f>Table135[[#This Row],[Salary]]/Table135[[#This Row],[Days]]</f>
        <v>210</v>
      </c>
      <c r="BD26" s="34">
        <f>Table135[[#This Row],[Per Day Salary]]*Table135[[#This Row],[Absent]]</f>
        <v>1470</v>
      </c>
      <c r="BE26" s="33">
        <f>Table135[[#This Row],[Salary]]-Table135[[#This Row],[Deduction ]]</f>
        <v>4830</v>
      </c>
    </row>
    <row r="27" spans="7:60" x14ac:dyDescent="0.35">
      <c r="G27" s="7">
        <v>20</v>
      </c>
      <c r="H27" s="27" t="s">
        <v>55</v>
      </c>
      <c r="I27" s="7">
        <v>1020</v>
      </c>
      <c r="J27" s="15">
        <f t="shared" si="6"/>
        <v>4</v>
      </c>
      <c r="K27" s="7" t="s">
        <v>36</v>
      </c>
      <c r="L27" s="7" t="s">
        <v>36</v>
      </c>
      <c r="M27" s="7" t="s">
        <v>36</v>
      </c>
      <c r="N27" s="7" t="s">
        <v>36</v>
      </c>
      <c r="O27" s="7" t="s">
        <v>36</v>
      </c>
      <c r="P27" s="7" t="s">
        <v>58</v>
      </c>
      <c r="Q27" s="7" t="s">
        <v>56</v>
      </c>
      <c r="R27" s="7" t="s">
        <v>56</v>
      </c>
      <c r="S27" s="7" t="s">
        <v>56</v>
      </c>
      <c r="T27" s="7" t="s">
        <v>57</v>
      </c>
      <c r="U27" s="7" t="s">
        <v>36</v>
      </c>
      <c r="V27" s="7" t="s">
        <v>36</v>
      </c>
      <c r="W27" s="7" t="s">
        <v>58</v>
      </c>
      <c r="X27" s="7" t="s">
        <v>56</v>
      </c>
      <c r="Y27" s="7" t="s">
        <v>56</v>
      </c>
      <c r="Z27" s="7" t="s">
        <v>57</v>
      </c>
      <c r="AA27" s="7" t="s">
        <v>36</v>
      </c>
      <c r="AB27" s="7" t="s">
        <v>36</v>
      </c>
      <c r="AC27" s="7" t="s">
        <v>36</v>
      </c>
      <c r="AD27" s="7" t="str">
        <f t="shared" si="10"/>
        <v>WO</v>
      </c>
      <c r="AE27" s="7" t="s">
        <v>36</v>
      </c>
      <c r="AF27" s="7" t="s">
        <v>36</v>
      </c>
      <c r="AG27" s="7" t="s">
        <v>36</v>
      </c>
      <c r="AH27" s="7" t="s">
        <v>36</v>
      </c>
      <c r="AI27" s="7" t="s">
        <v>36</v>
      </c>
      <c r="AJ27" s="7" t="s">
        <v>36</v>
      </c>
      <c r="AK27" s="7" t="str">
        <f t="shared" si="10"/>
        <v>WO</v>
      </c>
      <c r="AL27" s="7" t="s">
        <v>36</v>
      </c>
      <c r="AM27" s="7" t="s">
        <v>56</v>
      </c>
      <c r="AN27" s="7" t="s">
        <v>56</v>
      </c>
      <c r="AO27" s="7"/>
      <c r="AR27" s="7">
        <v>20</v>
      </c>
      <c r="AS27" s="7" t="s">
        <v>55</v>
      </c>
      <c r="AT27" s="7" t="s">
        <v>65</v>
      </c>
      <c r="AU27" s="7">
        <v>1020</v>
      </c>
      <c r="AV27" s="30">
        <f t="shared" si="3"/>
        <v>17</v>
      </c>
      <c r="AW27" s="30">
        <f t="shared" si="8"/>
        <v>7</v>
      </c>
      <c r="AX27" s="30">
        <f t="shared" si="4"/>
        <v>2</v>
      </c>
      <c r="AY27" s="31">
        <f t="shared" si="5"/>
        <v>4</v>
      </c>
      <c r="AZ27" s="31">
        <f t="shared" si="7"/>
        <v>30</v>
      </c>
      <c r="BA27" s="32">
        <f>Table135[[#This Row],[Days]]-Table135[[#This Row],[Absent]]</f>
        <v>23</v>
      </c>
      <c r="BB27" s="33">
        <v>6400</v>
      </c>
      <c r="BC27" s="36">
        <f>Table135[[#This Row],[Salary]]/Table135[[#This Row],[Days]]</f>
        <v>213.33333333333334</v>
      </c>
      <c r="BD27" s="34">
        <f>Table135[[#This Row],[Per Day Salary]]*Table135[[#This Row],[Absent]]</f>
        <v>1493.3333333333335</v>
      </c>
      <c r="BE27" s="33">
        <f>Table135[[#This Row],[Salary]]-Table135[[#This Row],[Deduction ]]</f>
        <v>4906.6666666666661</v>
      </c>
    </row>
    <row r="28" spans="7:60" x14ac:dyDescent="0.35">
      <c r="L28" s="6"/>
      <c r="S28" s="6"/>
      <c r="AR28" s="39" t="s">
        <v>73</v>
      </c>
      <c r="AS28" s="6"/>
      <c r="AT28" s="48"/>
      <c r="AU28" s="6"/>
      <c r="AV28" s="37"/>
      <c r="AW28" s="37">
        <f>SUM(Table135[Absent])</f>
        <v>140</v>
      </c>
      <c r="AX28" s="37"/>
      <c r="AY28" s="5"/>
      <c r="AZ28" s="5"/>
      <c r="BA28" s="41"/>
      <c r="BC28" s="5"/>
      <c r="BD28" s="5"/>
      <c r="BE28" s="40">
        <f>SUBTOTAL(103,Table135[Total Salary])</f>
        <v>20</v>
      </c>
    </row>
    <row r="29" spans="7:60" x14ac:dyDescent="0.35">
      <c r="J29" s="6">
        <f>COUNTA(H8:H27)</f>
        <v>20</v>
      </c>
    </row>
  </sheetData>
  <mergeCells count="1">
    <mergeCell ref="G6:I6"/>
  </mergeCells>
  <phoneticPr fontId="2" type="noConversion"/>
  <conditionalFormatting sqref="F5">
    <cfRule type="containsText" dxfId="44" priority="4" operator="containsText" text="P">
      <formula>NOT(ISERROR(SEARCH("P",F5)))</formula>
    </cfRule>
  </conditionalFormatting>
  <conditionalFormatting sqref="K8:AO27">
    <cfRule type="containsText" dxfId="43" priority="1" operator="containsText" text="L">
      <formula>NOT(ISERROR(SEARCH("L",K8)))</formula>
    </cfRule>
    <cfRule type="containsText" dxfId="42" priority="2" operator="containsText" text="A">
      <formula>NOT(ISERROR(SEARCH("A",K8)))</formula>
    </cfRule>
    <cfRule type="containsText" dxfId="41" priority="3" operator="containsText" text="P">
      <formula>NOT(ISERROR(SEARCH("P",K8)))</formula>
    </cfRule>
    <cfRule type="containsText" dxfId="40" priority="5" operator="containsText" text="WO">
      <formula>NOT(ISERROR(SEARCH("WO",K8)))</formula>
    </cfRule>
  </conditionalFormatting>
  <dataValidations count="1">
    <dataValidation type="list" allowBlank="1" showInputMessage="1" showErrorMessage="1" sqref="X8:AC27 AE8:AJ27 K8:O27 AL8:AO27 Q8:V27" xr:uid="{A6213A47-15F7-4208-BE38-32EC46E481FE}">
      <formula1>"A,L,P"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C2CAB0E-8CE1-4F51-AF8D-F3BB87E2E231}">
          <x14:formula1>
            <xm:f>Sheet1!$J$2:$J$13</xm:f>
          </x14:formula1>
          <xm:sqref>G5</xm:sqref>
        </x14:dataValidation>
        <x14:dataValidation type="list" allowBlank="1" showInputMessage="1" showErrorMessage="1" xr:uid="{1FF24BD8-E55B-4815-B42F-912F820A8E1B}">
          <x14:formula1>
            <xm:f>Sheet1!$E$2:$E$13</xm:f>
          </x14:formula1>
          <xm:sqref>I5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B4AE8-19FA-4390-8EAC-E5135033295C}">
  <sheetPr codeName="Sheet6"/>
  <dimension ref="F4:BN28"/>
  <sheetViews>
    <sheetView showGridLines="0" zoomScale="60" zoomScaleNormal="60" workbookViewId="0">
      <selection activeCell="H13" sqref="H13"/>
    </sheetView>
  </sheetViews>
  <sheetFormatPr defaultRowHeight="14.5" x14ac:dyDescent="0.35"/>
  <cols>
    <col min="7" max="7" width="12.54296875" bestFit="1" customWidth="1"/>
    <col min="8" max="8" width="11.7265625" bestFit="1" customWidth="1"/>
    <col min="9" max="9" width="12.26953125" customWidth="1"/>
    <col min="10" max="10" width="8.453125" bestFit="1" customWidth="1"/>
    <col min="11" max="11" width="3.453125" bestFit="1" customWidth="1"/>
    <col min="12" max="12" width="3.7265625" bestFit="1" customWidth="1"/>
    <col min="13" max="13" width="5.54296875" customWidth="1"/>
    <col min="14" max="14" width="4.453125" customWidth="1"/>
    <col min="15" max="15" width="4.453125" bestFit="1" customWidth="1"/>
    <col min="16" max="16" width="3.7265625" bestFit="1" customWidth="1"/>
    <col min="17" max="17" width="2.81640625" bestFit="1" customWidth="1"/>
    <col min="18" max="18" width="3.453125" bestFit="1" customWidth="1"/>
    <col min="19" max="19" width="3.7265625" bestFit="1" customWidth="1"/>
    <col min="20" max="20" width="4.453125" bestFit="1" customWidth="1"/>
    <col min="21" max="21" width="3.7265625" bestFit="1" customWidth="1"/>
    <col min="22" max="22" width="4.453125" bestFit="1" customWidth="1"/>
    <col min="23" max="23" width="3.7265625" bestFit="1" customWidth="1"/>
    <col min="24" max="24" width="2.81640625" bestFit="1" customWidth="1"/>
    <col min="25" max="25" width="3.453125" bestFit="1" customWidth="1"/>
    <col min="26" max="26" width="3.7265625" bestFit="1" customWidth="1"/>
    <col min="27" max="27" width="4.453125" bestFit="1" customWidth="1"/>
    <col min="28" max="28" width="3.7265625" bestFit="1" customWidth="1"/>
    <col min="29" max="29" width="4.453125" bestFit="1" customWidth="1"/>
    <col min="30" max="30" width="3.7265625" bestFit="1" customWidth="1"/>
    <col min="31" max="31" width="2.81640625" bestFit="1" customWidth="1"/>
    <col min="32" max="32" width="3.453125" bestFit="1" customWidth="1"/>
    <col min="33" max="33" width="3.7265625" bestFit="1" customWidth="1"/>
    <col min="34" max="34" width="4.453125" bestFit="1" customWidth="1"/>
    <col min="35" max="35" width="3.7265625" bestFit="1" customWidth="1"/>
    <col min="36" max="36" width="4.453125" bestFit="1" customWidth="1"/>
    <col min="37" max="37" width="3.7265625" bestFit="1" customWidth="1"/>
    <col min="38" max="38" width="2.81640625" bestFit="1" customWidth="1"/>
    <col min="39" max="39" width="3.453125" bestFit="1" customWidth="1"/>
    <col min="40" max="40" width="4.1796875" bestFit="1" customWidth="1"/>
    <col min="41" max="41" width="5.08984375" customWidth="1"/>
    <col min="45" max="46" width="10.453125" customWidth="1"/>
    <col min="47" max="47" width="12.81640625" customWidth="1"/>
    <col min="48" max="48" width="9.453125" customWidth="1"/>
    <col min="49" max="49" width="8.90625" customWidth="1"/>
    <col min="51" max="51" width="10.453125" customWidth="1"/>
    <col min="53" max="53" width="10.7265625" customWidth="1"/>
    <col min="54" max="54" width="10.7265625" bestFit="1" customWidth="1"/>
    <col min="55" max="55" width="14.36328125" customWidth="1"/>
    <col min="56" max="56" width="12" customWidth="1"/>
    <col min="57" max="57" width="12.54296875" customWidth="1"/>
  </cols>
  <sheetData>
    <row r="4" spans="6:66" x14ac:dyDescent="0.35">
      <c r="F4" s="21"/>
      <c r="G4" s="21"/>
      <c r="H4" s="21"/>
      <c r="I4" s="22">
        <f>G5</f>
        <v>45778</v>
      </c>
      <c r="J4" s="21"/>
      <c r="K4" s="21"/>
      <c r="L4" s="21"/>
    </row>
    <row r="5" spans="6:66" ht="15" thickBot="1" x14ac:dyDescent="0.4">
      <c r="F5" s="21" t="s">
        <v>23</v>
      </c>
      <c r="G5" s="26">
        <v>45778</v>
      </c>
      <c r="H5" s="24">
        <f>G5</f>
        <v>45778</v>
      </c>
      <c r="I5" s="24"/>
      <c r="J5" s="21"/>
      <c r="K5" s="21"/>
      <c r="L5" s="21" t="s">
        <v>25</v>
      </c>
      <c r="M5" s="23">
        <f>EOMONTH(G5,0)</f>
        <v>45808</v>
      </c>
      <c r="O5" s="3"/>
    </row>
    <row r="6" spans="6:66" ht="16.5" thickBot="1" x14ac:dyDescent="0.45">
      <c r="G6" s="50" t="s">
        <v>27</v>
      </c>
      <c r="H6" s="51"/>
      <c r="I6" s="52"/>
      <c r="J6" s="11" t="s">
        <v>26</v>
      </c>
      <c r="K6" s="12" t="str">
        <f>TEXT(K7,"ddd")</f>
        <v>Thu</v>
      </c>
      <c r="L6" s="12" t="str">
        <f t="shared" ref="L6:AN6" si="0">TEXT(L7,"ddd")</f>
        <v>Fri</v>
      </c>
      <c r="M6" s="12" t="str">
        <f t="shared" si="0"/>
        <v>Sat</v>
      </c>
      <c r="N6" s="12" t="str">
        <f t="shared" si="0"/>
        <v>Sun</v>
      </c>
      <c r="O6" s="12" t="str">
        <f t="shared" si="0"/>
        <v>Mon</v>
      </c>
      <c r="P6" s="12" t="str">
        <f t="shared" si="0"/>
        <v>Tue</v>
      </c>
      <c r="Q6" s="12" t="str">
        <f t="shared" si="0"/>
        <v>Wed</v>
      </c>
      <c r="R6" s="12" t="str">
        <f t="shared" si="0"/>
        <v>Thu</v>
      </c>
      <c r="S6" s="12" t="str">
        <f t="shared" si="0"/>
        <v>Fri</v>
      </c>
      <c r="T6" s="12" t="str">
        <f t="shared" si="0"/>
        <v>Sat</v>
      </c>
      <c r="U6" s="12" t="str">
        <f t="shared" si="0"/>
        <v>Sun</v>
      </c>
      <c r="V6" s="12" t="str">
        <f t="shared" si="0"/>
        <v>Mon</v>
      </c>
      <c r="W6" s="12" t="str">
        <f t="shared" si="0"/>
        <v>Tue</v>
      </c>
      <c r="X6" s="12" t="str">
        <f t="shared" si="0"/>
        <v>Wed</v>
      </c>
      <c r="Y6" s="12" t="str">
        <f t="shared" si="0"/>
        <v>Thu</v>
      </c>
      <c r="Z6" s="12" t="str">
        <f t="shared" si="0"/>
        <v>Fri</v>
      </c>
      <c r="AA6" s="12" t="str">
        <f t="shared" si="0"/>
        <v>Sat</v>
      </c>
      <c r="AB6" s="12" t="str">
        <f t="shared" si="0"/>
        <v>Sun</v>
      </c>
      <c r="AC6" s="12" t="str">
        <f t="shared" si="0"/>
        <v>Mon</v>
      </c>
      <c r="AD6" s="12" t="str">
        <f t="shared" si="0"/>
        <v>Tue</v>
      </c>
      <c r="AE6" s="12" t="str">
        <f t="shared" si="0"/>
        <v>Wed</v>
      </c>
      <c r="AF6" s="12" t="str">
        <f t="shared" si="0"/>
        <v>Thu</v>
      </c>
      <c r="AG6" s="12" t="str">
        <f t="shared" si="0"/>
        <v>Fri</v>
      </c>
      <c r="AH6" s="12" t="str">
        <f t="shared" si="0"/>
        <v>Sat</v>
      </c>
      <c r="AI6" s="12" t="str">
        <f t="shared" si="0"/>
        <v>Sun</v>
      </c>
      <c r="AJ6" s="12" t="str">
        <f t="shared" si="0"/>
        <v>Mon</v>
      </c>
      <c r="AK6" s="12" t="str">
        <f t="shared" si="0"/>
        <v>Tue</v>
      </c>
      <c r="AL6" s="12" t="str">
        <f t="shared" si="0"/>
        <v>Wed</v>
      </c>
      <c r="AM6" s="13" t="str">
        <f t="shared" si="0"/>
        <v>Thu</v>
      </c>
      <c r="AN6" s="13" t="str">
        <f t="shared" si="0"/>
        <v>Fri</v>
      </c>
      <c r="AO6" s="14" t="str">
        <f>TEXT(AO7,"ddd")</f>
        <v>Sat</v>
      </c>
    </row>
    <row r="7" spans="6:66" ht="14.25" customHeight="1" x14ac:dyDescent="0.35">
      <c r="G7" s="25" t="s">
        <v>0</v>
      </c>
      <c r="H7" s="25" t="s">
        <v>1</v>
      </c>
      <c r="I7" s="25" t="s">
        <v>2</v>
      </c>
      <c r="J7" s="8" t="s">
        <v>24</v>
      </c>
      <c r="K7" s="9">
        <f>G5</f>
        <v>45778</v>
      </c>
      <c r="L7" s="9">
        <f>IF(K7&lt;$M$5,1+K7,"")</f>
        <v>45779</v>
      </c>
      <c r="M7" s="9">
        <f t="shared" ref="M7:AL7" si="1">IF(L7&lt;$M$5,1+L7,"")</f>
        <v>45780</v>
      </c>
      <c r="N7" s="9">
        <f t="shared" si="1"/>
        <v>45781</v>
      </c>
      <c r="O7" s="9">
        <f t="shared" si="1"/>
        <v>45782</v>
      </c>
      <c r="P7" s="9">
        <f t="shared" si="1"/>
        <v>45783</v>
      </c>
      <c r="Q7" s="9">
        <f t="shared" si="1"/>
        <v>45784</v>
      </c>
      <c r="R7" s="9">
        <f t="shared" si="1"/>
        <v>45785</v>
      </c>
      <c r="S7" s="9">
        <f t="shared" si="1"/>
        <v>45786</v>
      </c>
      <c r="T7" s="9">
        <f t="shared" si="1"/>
        <v>45787</v>
      </c>
      <c r="U7" s="9">
        <f t="shared" si="1"/>
        <v>45788</v>
      </c>
      <c r="V7" s="9">
        <f t="shared" si="1"/>
        <v>45789</v>
      </c>
      <c r="W7" s="9">
        <f t="shared" si="1"/>
        <v>45790</v>
      </c>
      <c r="X7" s="9">
        <f t="shared" si="1"/>
        <v>45791</v>
      </c>
      <c r="Y7" s="9">
        <f t="shared" si="1"/>
        <v>45792</v>
      </c>
      <c r="Z7" s="9">
        <f t="shared" si="1"/>
        <v>45793</v>
      </c>
      <c r="AA7" s="9">
        <f>IF(Z7&lt;$M$5,1+Z7,"")</f>
        <v>45794</v>
      </c>
      <c r="AB7" s="9">
        <f t="shared" si="1"/>
        <v>45795</v>
      </c>
      <c r="AC7" s="9">
        <f t="shared" si="1"/>
        <v>45796</v>
      </c>
      <c r="AD7" s="9">
        <f t="shared" si="1"/>
        <v>45797</v>
      </c>
      <c r="AE7" s="9">
        <f t="shared" si="1"/>
        <v>45798</v>
      </c>
      <c r="AF7" s="9">
        <f t="shared" si="1"/>
        <v>45799</v>
      </c>
      <c r="AG7" s="9">
        <f t="shared" si="1"/>
        <v>45800</v>
      </c>
      <c r="AH7" s="9">
        <f t="shared" si="1"/>
        <v>45801</v>
      </c>
      <c r="AI7" s="9">
        <f t="shared" si="1"/>
        <v>45802</v>
      </c>
      <c r="AJ7" s="9">
        <f t="shared" si="1"/>
        <v>45803</v>
      </c>
      <c r="AK7" s="9">
        <f t="shared" si="1"/>
        <v>45804</v>
      </c>
      <c r="AL7" s="9">
        <f t="shared" si="1"/>
        <v>45805</v>
      </c>
      <c r="AM7" s="9">
        <f>IF(AL7&lt;$M$5,1+AL7,"")</f>
        <v>45806</v>
      </c>
      <c r="AN7" s="9">
        <f>IF(AM7&lt;$M$5,1+AM7,"")</f>
        <v>45807</v>
      </c>
      <c r="AO7" s="10">
        <f>IF(AN7&lt;$M$5,1+AN7,"")</f>
        <v>45808</v>
      </c>
      <c r="AP7" s="5"/>
      <c r="AQ7" s="5"/>
      <c r="AR7" s="18" t="s">
        <v>0</v>
      </c>
      <c r="AS7" s="18" t="s">
        <v>1</v>
      </c>
      <c r="AT7" s="18" t="s">
        <v>72</v>
      </c>
      <c r="AU7" s="18" t="s">
        <v>2</v>
      </c>
      <c r="AV7" s="17" t="s">
        <v>28</v>
      </c>
      <c r="AW7" s="17" t="s">
        <v>29</v>
      </c>
      <c r="AX7" s="17" t="s">
        <v>30</v>
      </c>
      <c r="AY7" s="17" t="s">
        <v>24</v>
      </c>
      <c r="AZ7" s="17" t="s">
        <v>26</v>
      </c>
      <c r="BA7" s="17" t="s">
        <v>31</v>
      </c>
      <c r="BB7" s="17" t="s">
        <v>32</v>
      </c>
      <c r="BC7" s="17" t="s">
        <v>33</v>
      </c>
      <c r="BD7" s="17" t="s">
        <v>34</v>
      </c>
      <c r="BE7" s="17" t="s">
        <v>35</v>
      </c>
      <c r="BF7" s="16"/>
      <c r="BG7" s="5"/>
      <c r="BH7" s="5"/>
      <c r="BI7" s="5"/>
      <c r="BJ7" s="5"/>
      <c r="BK7" s="5"/>
      <c r="BL7" s="5"/>
      <c r="BM7" s="5"/>
      <c r="BN7" s="5"/>
    </row>
    <row r="8" spans="6:66" ht="14.25" customHeight="1" x14ac:dyDescent="0.35">
      <c r="G8" s="7">
        <v>1</v>
      </c>
      <c r="H8" s="27" t="s">
        <v>37</v>
      </c>
      <c r="I8" s="7">
        <v>1001</v>
      </c>
      <c r="J8" s="15">
        <f>COUNTIF(K$6:AO$6,"Sun")</f>
        <v>4</v>
      </c>
      <c r="K8" s="7" t="s">
        <v>36</v>
      </c>
      <c r="L8" s="7" t="s">
        <v>36</v>
      </c>
      <c r="M8" s="7" t="s">
        <v>36</v>
      </c>
      <c r="N8" s="7" t="s">
        <v>58</v>
      </c>
      <c r="O8" s="7" t="s">
        <v>36</v>
      </c>
      <c r="P8" s="7" t="s">
        <v>36</v>
      </c>
      <c r="Q8" s="7" t="s">
        <v>56</v>
      </c>
      <c r="R8" s="7" t="s">
        <v>56</v>
      </c>
      <c r="S8" s="7" t="s">
        <v>56</v>
      </c>
      <c r="T8" s="7" t="s">
        <v>57</v>
      </c>
      <c r="U8" s="7" t="s">
        <v>58</v>
      </c>
      <c r="V8" s="7" t="s">
        <v>36</v>
      </c>
      <c r="W8" s="7" t="s">
        <v>36</v>
      </c>
      <c r="X8" s="7" t="s">
        <v>56</v>
      </c>
      <c r="Y8" s="7" t="s">
        <v>56</v>
      </c>
      <c r="Z8" s="7" t="s">
        <v>57</v>
      </c>
      <c r="AA8" s="7" t="s">
        <v>36</v>
      </c>
      <c r="AB8" s="7" t="s">
        <v>58</v>
      </c>
      <c r="AC8" s="7" t="s">
        <v>36</v>
      </c>
      <c r="AD8" s="7" t="s">
        <v>36</v>
      </c>
      <c r="AE8" s="7" t="s">
        <v>36</v>
      </c>
      <c r="AF8" s="7" t="s">
        <v>36</v>
      </c>
      <c r="AG8" s="7" t="s">
        <v>36</v>
      </c>
      <c r="AH8" s="7" t="s">
        <v>36</v>
      </c>
      <c r="AI8" s="7" t="s">
        <v>58</v>
      </c>
      <c r="AJ8" s="7" t="s">
        <v>36</v>
      </c>
      <c r="AK8" s="7" t="s">
        <v>36</v>
      </c>
      <c r="AL8" s="7" t="s">
        <v>36</v>
      </c>
      <c r="AM8" s="7" t="s">
        <v>56</v>
      </c>
      <c r="AN8" s="7" t="s">
        <v>56</v>
      </c>
      <c r="AO8" s="7" t="s">
        <v>57</v>
      </c>
      <c r="AP8" s="5"/>
      <c r="AQ8" s="5"/>
      <c r="AR8" s="7">
        <v>1</v>
      </c>
      <c r="AS8" s="29" t="s">
        <v>37</v>
      </c>
      <c r="AT8" s="7" t="s">
        <v>66</v>
      </c>
      <c r="AU8" s="7">
        <v>1001</v>
      </c>
      <c r="AV8" s="30">
        <f t="shared" ref="AV8:AV27" si="2">COUNTIF($K8:$AO8,"P")</f>
        <v>17</v>
      </c>
      <c r="AW8" s="30">
        <f>COUNTIF($K8:$AO8,"A")</f>
        <v>7</v>
      </c>
      <c r="AX8" s="30">
        <f t="shared" ref="AX8:AX27" si="3">COUNTIF($K8:$AO8,"L")</f>
        <v>3</v>
      </c>
      <c r="AY8" s="31">
        <f t="shared" ref="AY8:AY27" si="4">COUNTIF($K8:$AO8,"WO")</f>
        <v>4</v>
      </c>
      <c r="AZ8" s="31">
        <f>($M$5-$H$5)+1</f>
        <v>31</v>
      </c>
      <c r="BA8" s="32">
        <f>Table136[[#This Row],[Days]]-Table136[[#This Row],[Absent]]</f>
        <v>24</v>
      </c>
      <c r="BB8" s="33">
        <v>4500</v>
      </c>
      <c r="BC8" s="36">
        <f>Table136[[#This Row],[Salary]]/Table136[[#This Row],[Days]]</f>
        <v>145.16129032258064</v>
      </c>
      <c r="BD8" s="34">
        <f>Table136[[#This Row],[Per Day Salary]]*Table136[[#This Row],[Absent]]</f>
        <v>1016.1290322580645</v>
      </c>
      <c r="BE8" s="33">
        <f>Table136[[#This Row],[Salary]]-Table136[[#This Row],[Deduction ]]</f>
        <v>3483.8709677419356</v>
      </c>
      <c r="BF8" s="5"/>
      <c r="BG8" s="5"/>
      <c r="BH8" s="5"/>
      <c r="BI8" s="5"/>
      <c r="BJ8" s="5"/>
      <c r="BK8" s="5"/>
      <c r="BL8" s="5"/>
    </row>
    <row r="9" spans="6:66" ht="17.5" customHeight="1" x14ac:dyDescent="0.35">
      <c r="G9" s="7">
        <v>2</v>
      </c>
      <c r="H9" s="27" t="s">
        <v>38</v>
      </c>
      <c r="I9" s="7">
        <v>1002</v>
      </c>
      <c r="J9" s="15">
        <f t="shared" ref="J9:J27" si="5">COUNTIF(K$6:AO$6,"Sun")</f>
        <v>4</v>
      </c>
      <c r="K9" s="7" t="s">
        <v>36</v>
      </c>
      <c r="L9" s="7" t="s">
        <v>36</v>
      </c>
      <c r="M9" s="7" t="s">
        <v>36</v>
      </c>
      <c r="N9" s="7" t="s">
        <v>58</v>
      </c>
      <c r="O9" s="7" t="s">
        <v>36</v>
      </c>
      <c r="P9" s="7" t="s">
        <v>36</v>
      </c>
      <c r="Q9" s="7" t="s">
        <v>56</v>
      </c>
      <c r="R9" s="7" t="s">
        <v>56</v>
      </c>
      <c r="S9" s="7" t="s">
        <v>56</v>
      </c>
      <c r="T9" s="7" t="s">
        <v>57</v>
      </c>
      <c r="U9" s="7" t="s">
        <v>58</v>
      </c>
      <c r="V9" s="7" t="s">
        <v>36</v>
      </c>
      <c r="W9" s="7" t="s">
        <v>36</v>
      </c>
      <c r="X9" s="7" t="s">
        <v>56</v>
      </c>
      <c r="Y9" s="7" t="s">
        <v>56</v>
      </c>
      <c r="Z9" s="7" t="s">
        <v>57</v>
      </c>
      <c r="AA9" s="7" t="s">
        <v>36</v>
      </c>
      <c r="AB9" s="7" t="s">
        <v>58</v>
      </c>
      <c r="AC9" s="7" t="s">
        <v>36</v>
      </c>
      <c r="AD9" s="7" t="s">
        <v>36</v>
      </c>
      <c r="AE9" s="7" t="s">
        <v>36</v>
      </c>
      <c r="AF9" s="7" t="s">
        <v>36</v>
      </c>
      <c r="AG9" s="7" t="s">
        <v>36</v>
      </c>
      <c r="AH9" s="7" t="s">
        <v>36</v>
      </c>
      <c r="AI9" s="7" t="s">
        <v>58</v>
      </c>
      <c r="AJ9" s="7" t="s">
        <v>36</v>
      </c>
      <c r="AK9" s="7" t="s">
        <v>36</v>
      </c>
      <c r="AL9" s="7" t="s">
        <v>36</v>
      </c>
      <c r="AM9" s="7" t="s">
        <v>56</v>
      </c>
      <c r="AN9" s="7" t="s">
        <v>56</v>
      </c>
      <c r="AO9" s="7" t="s">
        <v>57</v>
      </c>
      <c r="AP9" s="5"/>
      <c r="AQ9" s="5"/>
      <c r="AR9" s="7">
        <v>2</v>
      </c>
      <c r="AS9" s="7" t="s">
        <v>38</v>
      </c>
      <c r="AT9" s="7" t="s">
        <v>66</v>
      </c>
      <c r="AU9" s="7">
        <v>1002</v>
      </c>
      <c r="AV9" s="30">
        <f t="shared" si="2"/>
        <v>17</v>
      </c>
      <c r="AW9" s="30">
        <f>COUNTIF($K9:$AO9,"A")</f>
        <v>7</v>
      </c>
      <c r="AX9" s="35">
        <f t="shared" si="3"/>
        <v>3</v>
      </c>
      <c r="AY9" s="31">
        <f t="shared" si="4"/>
        <v>4</v>
      </c>
      <c r="AZ9" s="31">
        <f t="shared" ref="AZ9:AZ27" si="6">($M$5-$H$5)+1</f>
        <v>31</v>
      </c>
      <c r="BA9" s="32">
        <f>Table136[[#This Row],[Days]]-Table136[[#This Row],[Absent]]</f>
        <v>24</v>
      </c>
      <c r="BB9" s="33">
        <v>4600</v>
      </c>
      <c r="BC9" s="36">
        <f>Table136[[#This Row],[Salary]]/Table136[[#This Row],[Days]]</f>
        <v>148.38709677419354</v>
      </c>
      <c r="BD9" s="34">
        <f>Table136[[#This Row],[Per Day Salary]]*Table136[[#This Row],[Absent]]</f>
        <v>1038.7096774193546</v>
      </c>
      <c r="BE9" s="33">
        <f>Table136[[#This Row],[Salary]]-Table136[[#This Row],[Deduction ]]</f>
        <v>3561.2903225806454</v>
      </c>
      <c r="BF9" s="5"/>
      <c r="BG9" s="5"/>
      <c r="BH9" s="5"/>
      <c r="BI9" s="5"/>
      <c r="BJ9" s="5"/>
      <c r="BK9" s="5"/>
      <c r="BL9" s="5"/>
    </row>
    <row r="10" spans="6:66" ht="15" customHeight="1" x14ac:dyDescent="0.35">
      <c r="G10" s="7">
        <v>3</v>
      </c>
      <c r="H10" s="27" t="s">
        <v>39</v>
      </c>
      <c r="I10" s="7">
        <v>1003</v>
      </c>
      <c r="J10" s="15">
        <f t="shared" si="5"/>
        <v>4</v>
      </c>
      <c r="K10" s="7" t="s">
        <v>36</v>
      </c>
      <c r="L10" s="7" t="s">
        <v>36</v>
      </c>
      <c r="M10" s="7" t="s">
        <v>36</v>
      </c>
      <c r="N10" s="7" t="s">
        <v>58</v>
      </c>
      <c r="O10" s="7" t="s">
        <v>36</v>
      </c>
      <c r="P10" s="7" t="s">
        <v>36</v>
      </c>
      <c r="Q10" s="7" t="s">
        <v>56</v>
      </c>
      <c r="R10" s="7" t="s">
        <v>56</v>
      </c>
      <c r="S10" s="7" t="s">
        <v>56</v>
      </c>
      <c r="T10" s="7" t="s">
        <v>57</v>
      </c>
      <c r="U10" s="7" t="s">
        <v>58</v>
      </c>
      <c r="V10" s="7" t="s">
        <v>36</v>
      </c>
      <c r="W10" s="7" t="s">
        <v>36</v>
      </c>
      <c r="X10" s="7" t="s">
        <v>56</v>
      </c>
      <c r="Y10" s="7" t="s">
        <v>56</v>
      </c>
      <c r="Z10" s="7" t="s">
        <v>57</v>
      </c>
      <c r="AA10" s="7" t="s">
        <v>36</v>
      </c>
      <c r="AB10" s="7" t="s">
        <v>58</v>
      </c>
      <c r="AC10" s="7" t="s">
        <v>36</v>
      </c>
      <c r="AD10" s="7" t="s">
        <v>36</v>
      </c>
      <c r="AE10" s="7" t="s">
        <v>36</v>
      </c>
      <c r="AF10" s="7" t="s">
        <v>36</v>
      </c>
      <c r="AG10" s="7" t="s">
        <v>36</v>
      </c>
      <c r="AH10" s="7" t="s">
        <v>36</v>
      </c>
      <c r="AI10" s="7" t="s">
        <v>58</v>
      </c>
      <c r="AJ10" s="7" t="s">
        <v>36</v>
      </c>
      <c r="AK10" s="7" t="s">
        <v>36</v>
      </c>
      <c r="AL10" s="7" t="s">
        <v>36</v>
      </c>
      <c r="AM10" s="7" t="s">
        <v>56</v>
      </c>
      <c r="AN10" s="7" t="s">
        <v>56</v>
      </c>
      <c r="AO10" s="7" t="s">
        <v>57</v>
      </c>
      <c r="AP10" s="5"/>
      <c r="AQ10" s="5"/>
      <c r="AR10" s="7">
        <v>3</v>
      </c>
      <c r="AS10" s="7" t="s">
        <v>39</v>
      </c>
      <c r="AT10" s="7" t="s">
        <v>66</v>
      </c>
      <c r="AU10" s="7">
        <v>1003</v>
      </c>
      <c r="AV10" s="30">
        <f t="shared" si="2"/>
        <v>17</v>
      </c>
      <c r="AW10" s="30">
        <f t="shared" ref="AW10:AW27" si="7">COUNTIF($K10:$AO10,"A")</f>
        <v>7</v>
      </c>
      <c r="AX10" s="30">
        <f t="shared" si="3"/>
        <v>3</v>
      </c>
      <c r="AY10" s="31">
        <f t="shared" si="4"/>
        <v>4</v>
      </c>
      <c r="AZ10" s="31">
        <f t="shared" si="6"/>
        <v>31</v>
      </c>
      <c r="BA10" s="32">
        <f>Table136[[#This Row],[Days]]-Table136[[#This Row],[Absent]]</f>
        <v>24</v>
      </c>
      <c r="BB10" s="33">
        <v>4700</v>
      </c>
      <c r="BC10" s="36">
        <f>Table136[[#This Row],[Salary]]/Table136[[#This Row],[Days]]</f>
        <v>151.61290322580646</v>
      </c>
      <c r="BD10" s="34">
        <f>Table136[[#This Row],[Per Day Salary]]*Table136[[#This Row],[Absent]]</f>
        <v>1061.2903225806454</v>
      </c>
      <c r="BE10" s="33">
        <f>Table136[[#This Row],[Salary]]-Table136[[#This Row],[Deduction ]]</f>
        <v>3638.7096774193546</v>
      </c>
      <c r="BF10" s="5"/>
      <c r="BG10" s="5"/>
      <c r="BH10" s="5"/>
      <c r="BI10" s="5"/>
      <c r="BJ10" s="5"/>
      <c r="BK10" s="5"/>
      <c r="BL10" s="5"/>
    </row>
    <row r="11" spans="6:66" x14ac:dyDescent="0.35">
      <c r="G11" s="7">
        <v>4</v>
      </c>
      <c r="H11" s="27" t="s">
        <v>59</v>
      </c>
      <c r="I11" s="7">
        <v>1004</v>
      </c>
      <c r="J11" s="15">
        <f t="shared" si="5"/>
        <v>4</v>
      </c>
      <c r="K11" s="7" t="s">
        <v>36</v>
      </c>
      <c r="L11" s="7" t="s">
        <v>36</v>
      </c>
      <c r="M11" s="7" t="s">
        <v>36</v>
      </c>
      <c r="N11" s="7" t="s">
        <v>58</v>
      </c>
      <c r="O11" s="7" t="s">
        <v>36</v>
      </c>
      <c r="P11" s="7" t="s">
        <v>36</v>
      </c>
      <c r="Q11" s="7" t="s">
        <v>56</v>
      </c>
      <c r="R11" s="7" t="s">
        <v>56</v>
      </c>
      <c r="S11" s="7" t="s">
        <v>56</v>
      </c>
      <c r="T11" s="7" t="s">
        <v>57</v>
      </c>
      <c r="U11" s="7" t="s">
        <v>58</v>
      </c>
      <c r="V11" s="7" t="s">
        <v>36</v>
      </c>
      <c r="W11" s="7" t="s">
        <v>36</v>
      </c>
      <c r="X11" s="7" t="s">
        <v>56</v>
      </c>
      <c r="Y11" s="7" t="s">
        <v>56</v>
      </c>
      <c r="Z11" s="7" t="s">
        <v>57</v>
      </c>
      <c r="AA11" s="7" t="s">
        <v>36</v>
      </c>
      <c r="AB11" s="7" t="s">
        <v>58</v>
      </c>
      <c r="AC11" s="7" t="s">
        <v>36</v>
      </c>
      <c r="AD11" s="7" t="s">
        <v>36</v>
      </c>
      <c r="AE11" s="7" t="s">
        <v>36</v>
      </c>
      <c r="AF11" s="7" t="s">
        <v>36</v>
      </c>
      <c r="AG11" s="7" t="s">
        <v>36</v>
      </c>
      <c r="AH11" s="7" t="s">
        <v>36</v>
      </c>
      <c r="AI11" s="7" t="s">
        <v>58</v>
      </c>
      <c r="AJ11" s="7" t="s">
        <v>36</v>
      </c>
      <c r="AK11" s="7" t="s">
        <v>36</v>
      </c>
      <c r="AL11" s="7" t="s">
        <v>36</v>
      </c>
      <c r="AM11" s="7" t="s">
        <v>56</v>
      </c>
      <c r="AN11" s="7" t="s">
        <v>56</v>
      </c>
      <c r="AO11" s="7" t="s">
        <v>57</v>
      </c>
      <c r="AP11" s="5"/>
      <c r="AQ11" s="5"/>
      <c r="AR11" s="7">
        <v>4</v>
      </c>
      <c r="AS11" s="7" t="s">
        <v>59</v>
      </c>
      <c r="AT11" s="7" t="s">
        <v>66</v>
      </c>
      <c r="AU11" s="7">
        <v>1004</v>
      </c>
      <c r="AV11" s="30">
        <f t="shared" si="2"/>
        <v>17</v>
      </c>
      <c r="AW11" s="30">
        <f t="shared" si="7"/>
        <v>7</v>
      </c>
      <c r="AX11" s="30">
        <f t="shared" si="3"/>
        <v>3</v>
      </c>
      <c r="AY11" s="31">
        <f t="shared" si="4"/>
        <v>4</v>
      </c>
      <c r="AZ11" s="31">
        <f t="shared" si="6"/>
        <v>31</v>
      </c>
      <c r="BA11" s="32">
        <f>Table136[[#This Row],[Days]]-Table136[[#This Row],[Absent]]</f>
        <v>24</v>
      </c>
      <c r="BB11" s="33">
        <v>4800</v>
      </c>
      <c r="BC11" s="36">
        <f>Table136[[#This Row],[Salary]]/Table136[[#This Row],[Days]]</f>
        <v>154.83870967741936</v>
      </c>
      <c r="BD11" s="34">
        <f>Table136[[#This Row],[Per Day Salary]]*Table136[[#This Row],[Absent]]</f>
        <v>1083.8709677419356</v>
      </c>
      <c r="BE11" s="33">
        <f>Table136[[#This Row],[Salary]]-Table136[[#This Row],[Deduction ]]</f>
        <v>3716.1290322580644</v>
      </c>
      <c r="BF11" s="5"/>
      <c r="BG11" s="5"/>
      <c r="BH11" s="5"/>
      <c r="BI11" s="5"/>
      <c r="BJ11" s="5"/>
      <c r="BK11" s="5"/>
      <c r="BL11" s="5"/>
    </row>
    <row r="12" spans="6:66" x14ac:dyDescent="0.35">
      <c r="G12" s="7">
        <v>5</v>
      </c>
      <c r="H12" s="27" t="s">
        <v>40</v>
      </c>
      <c r="I12" s="7">
        <v>1005</v>
      </c>
      <c r="J12" s="15">
        <f t="shared" si="5"/>
        <v>4</v>
      </c>
      <c r="K12" s="7" t="s">
        <v>36</v>
      </c>
      <c r="L12" s="7" t="s">
        <v>36</v>
      </c>
      <c r="M12" s="7" t="s">
        <v>36</v>
      </c>
      <c r="N12" s="7" t="s">
        <v>58</v>
      </c>
      <c r="O12" s="7" t="s">
        <v>36</v>
      </c>
      <c r="P12" s="7" t="s">
        <v>36</v>
      </c>
      <c r="Q12" s="7" t="s">
        <v>56</v>
      </c>
      <c r="R12" s="7" t="s">
        <v>56</v>
      </c>
      <c r="S12" s="7" t="s">
        <v>56</v>
      </c>
      <c r="T12" s="7" t="s">
        <v>57</v>
      </c>
      <c r="U12" s="7" t="s">
        <v>58</v>
      </c>
      <c r="V12" s="7" t="s">
        <v>36</v>
      </c>
      <c r="W12" s="7" t="s">
        <v>36</v>
      </c>
      <c r="X12" s="7" t="s">
        <v>56</v>
      </c>
      <c r="Y12" s="7" t="s">
        <v>56</v>
      </c>
      <c r="Z12" s="7" t="s">
        <v>57</v>
      </c>
      <c r="AA12" s="7" t="s">
        <v>36</v>
      </c>
      <c r="AB12" s="7" t="s">
        <v>58</v>
      </c>
      <c r="AC12" s="7" t="s">
        <v>36</v>
      </c>
      <c r="AD12" s="7" t="s">
        <v>36</v>
      </c>
      <c r="AE12" s="7" t="s">
        <v>36</v>
      </c>
      <c r="AF12" s="7" t="s">
        <v>36</v>
      </c>
      <c r="AG12" s="7" t="s">
        <v>36</v>
      </c>
      <c r="AH12" s="7" t="s">
        <v>36</v>
      </c>
      <c r="AI12" s="7" t="s">
        <v>58</v>
      </c>
      <c r="AJ12" s="7" t="s">
        <v>36</v>
      </c>
      <c r="AK12" s="7" t="s">
        <v>36</v>
      </c>
      <c r="AL12" s="7" t="s">
        <v>36</v>
      </c>
      <c r="AM12" s="7" t="s">
        <v>56</v>
      </c>
      <c r="AN12" s="7" t="s">
        <v>56</v>
      </c>
      <c r="AO12" s="7" t="s">
        <v>57</v>
      </c>
      <c r="AP12" s="5"/>
      <c r="AQ12" s="5"/>
      <c r="AR12" s="7">
        <v>5</v>
      </c>
      <c r="AS12" s="7" t="s">
        <v>40</v>
      </c>
      <c r="AT12" s="7" t="s">
        <v>66</v>
      </c>
      <c r="AU12" s="7">
        <v>1005</v>
      </c>
      <c r="AV12" s="30">
        <f t="shared" si="2"/>
        <v>17</v>
      </c>
      <c r="AW12" s="30">
        <f t="shared" si="7"/>
        <v>7</v>
      </c>
      <c r="AX12" s="30">
        <f t="shared" si="3"/>
        <v>3</v>
      </c>
      <c r="AY12" s="31">
        <f t="shared" si="4"/>
        <v>4</v>
      </c>
      <c r="AZ12" s="31">
        <f t="shared" si="6"/>
        <v>31</v>
      </c>
      <c r="BA12" s="32">
        <f>Table136[[#This Row],[Days]]-Table136[[#This Row],[Absent]]</f>
        <v>24</v>
      </c>
      <c r="BB12" s="33">
        <v>4900</v>
      </c>
      <c r="BC12" s="36">
        <f>Table136[[#This Row],[Salary]]/Table136[[#This Row],[Days]]</f>
        <v>158.06451612903226</v>
      </c>
      <c r="BD12" s="34">
        <f>Table136[[#This Row],[Per Day Salary]]*Table136[[#This Row],[Absent]]</f>
        <v>1106.4516129032259</v>
      </c>
      <c r="BE12" s="33">
        <f>Table136[[#This Row],[Salary]]-Table136[[#This Row],[Deduction ]]</f>
        <v>3793.5483870967741</v>
      </c>
      <c r="BF12" s="5"/>
      <c r="BG12" s="5"/>
      <c r="BH12" s="5"/>
      <c r="BI12" s="5"/>
      <c r="BJ12" s="5"/>
      <c r="BK12" s="5"/>
      <c r="BL12" s="5"/>
    </row>
    <row r="13" spans="6:66" x14ac:dyDescent="0.35">
      <c r="G13" s="7">
        <v>6</v>
      </c>
      <c r="H13" s="27" t="s">
        <v>41</v>
      </c>
      <c r="I13" s="7">
        <v>1006</v>
      </c>
      <c r="J13" s="15">
        <f t="shared" si="5"/>
        <v>4</v>
      </c>
      <c r="K13" s="7" t="s">
        <v>36</v>
      </c>
      <c r="L13" s="7" t="s">
        <v>36</v>
      </c>
      <c r="M13" s="7" t="s">
        <v>36</v>
      </c>
      <c r="N13" s="7" t="s">
        <v>58</v>
      </c>
      <c r="O13" s="7" t="s">
        <v>36</v>
      </c>
      <c r="P13" s="7" t="s">
        <v>36</v>
      </c>
      <c r="Q13" s="7" t="s">
        <v>56</v>
      </c>
      <c r="R13" s="7" t="s">
        <v>56</v>
      </c>
      <c r="S13" s="7" t="s">
        <v>56</v>
      </c>
      <c r="T13" s="7" t="s">
        <v>57</v>
      </c>
      <c r="U13" s="7" t="s">
        <v>58</v>
      </c>
      <c r="V13" s="7" t="s">
        <v>36</v>
      </c>
      <c r="W13" s="7" t="s">
        <v>36</v>
      </c>
      <c r="X13" s="7" t="s">
        <v>56</v>
      </c>
      <c r="Y13" s="7" t="s">
        <v>56</v>
      </c>
      <c r="Z13" s="7" t="s">
        <v>57</v>
      </c>
      <c r="AA13" s="7" t="s">
        <v>36</v>
      </c>
      <c r="AB13" s="7" t="s">
        <v>58</v>
      </c>
      <c r="AC13" s="7" t="s">
        <v>36</v>
      </c>
      <c r="AD13" s="7" t="s">
        <v>36</v>
      </c>
      <c r="AE13" s="7" t="s">
        <v>36</v>
      </c>
      <c r="AF13" s="7" t="s">
        <v>36</v>
      </c>
      <c r="AG13" s="7" t="s">
        <v>36</v>
      </c>
      <c r="AH13" s="7" t="s">
        <v>36</v>
      </c>
      <c r="AI13" s="7" t="s">
        <v>58</v>
      </c>
      <c r="AJ13" s="7" t="s">
        <v>36</v>
      </c>
      <c r="AK13" s="7" t="s">
        <v>36</v>
      </c>
      <c r="AL13" s="7" t="s">
        <v>36</v>
      </c>
      <c r="AM13" s="7" t="s">
        <v>56</v>
      </c>
      <c r="AN13" s="7" t="s">
        <v>56</v>
      </c>
      <c r="AO13" s="7" t="s">
        <v>57</v>
      </c>
      <c r="AP13" s="5"/>
      <c r="AQ13" s="5"/>
      <c r="AR13" s="7">
        <v>6</v>
      </c>
      <c r="AS13" s="7" t="s">
        <v>41</v>
      </c>
      <c r="AT13" s="7" t="s">
        <v>66</v>
      </c>
      <c r="AU13" s="7">
        <v>1006</v>
      </c>
      <c r="AV13" s="30">
        <f t="shared" si="2"/>
        <v>17</v>
      </c>
      <c r="AW13" s="30">
        <f t="shared" si="7"/>
        <v>7</v>
      </c>
      <c r="AX13" s="30">
        <f t="shared" si="3"/>
        <v>3</v>
      </c>
      <c r="AY13" s="31">
        <f t="shared" si="4"/>
        <v>4</v>
      </c>
      <c r="AZ13" s="31">
        <f t="shared" si="6"/>
        <v>31</v>
      </c>
      <c r="BA13" s="32">
        <f>Table136[[#This Row],[Days]]-Table136[[#This Row],[Absent]]</f>
        <v>24</v>
      </c>
      <c r="BB13" s="33">
        <v>5000</v>
      </c>
      <c r="BC13" s="36">
        <f>Table136[[#This Row],[Salary]]/Table136[[#This Row],[Days]]</f>
        <v>161.29032258064515</v>
      </c>
      <c r="BD13" s="34">
        <f>Table136[[#This Row],[Per Day Salary]]*Table136[[#This Row],[Absent]]</f>
        <v>1129.0322580645161</v>
      </c>
      <c r="BE13" s="33">
        <f>Table136[[#This Row],[Salary]]-Table136[[#This Row],[Deduction ]]</f>
        <v>3870.9677419354839</v>
      </c>
      <c r="BF13" s="5"/>
      <c r="BG13" s="5"/>
      <c r="BH13" s="5"/>
      <c r="BI13" s="5"/>
      <c r="BJ13" s="5"/>
      <c r="BK13" s="5"/>
      <c r="BL13" s="5"/>
    </row>
    <row r="14" spans="6:66" x14ac:dyDescent="0.35">
      <c r="G14" s="7">
        <v>7</v>
      </c>
      <c r="H14" s="27" t="s">
        <v>42</v>
      </c>
      <c r="I14" s="7">
        <v>1007</v>
      </c>
      <c r="J14" s="15">
        <f t="shared" si="5"/>
        <v>4</v>
      </c>
      <c r="K14" s="7" t="s">
        <v>36</v>
      </c>
      <c r="L14" s="7" t="s">
        <v>36</v>
      </c>
      <c r="M14" s="7" t="s">
        <v>36</v>
      </c>
      <c r="N14" s="7" t="s">
        <v>58</v>
      </c>
      <c r="O14" s="7" t="s">
        <v>36</v>
      </c>
      <c r="P14" s="7" t="s">
        <v>36</v>
      </c>
      <c r="Q14" s="7" t="s">
        <v>56</v>
      </c>
      <c r="R14" s="7" t="s">
        <v>56</v>
      </c>
      <c r="S14" s="7" t="s">
        <v>56</v>
      </c>
      <c r="T14" s="7" t="s">
        <v>57</v>
      </c>
      <c r="U14" s="7" t="s">
        <v>58</v>
      </c>
      <c r="V14" s="7" t="s">
        <v>36</v>
      </c>
      <c r="W14" s="7" t="s">
        <v>36</v>
      </c>
      <c r="X14" s="7" t="s">
        <v>56</v>
      </c>
      <c r="Y14" s="7" t="s">
        <v>56</v>
      </c>
      <c r="Z14" s="7" t="s">
        <v>57</v>
      </c>
      <c r="AA14" s="7" t="s">
        <v>36</v>
      </c>
      <c r="AB14" s="7" t="s">
        <v>58</v>
      </c>
      <c r="AC14" s="7" t="s">
        <v>36</v>
      </c>
      <c r="AD14" s="7" t="s">
        <v>36</v>
      </c>
      <c r="AE14" s="7" t="s">
        <v>36</v>
      </c>
      <c r="AF14" s="7" t="s">
        <v>36</v>
      </c>
      <c r="AG14" s="7" t="s">
        <v>36</v>
      </c>
      <c r="AH14" s="7" t="s">
        <v>36</v>
      </c>
      <c r="AI14" s="7" t="s">
        <v>58</v>
      </c>
      <c r="AJ14" s="7" t="s">
        <v>36</v>
      </c>
      <c r="AK14" s="7" t="s">
        <v>36</v>
      </c>
      <c r="AL14" s="7" t="s">
        <v>36</v>
      </c>
      <c r="AM14" s="7" t="s">
        <v>56</v>
      </c>
      <c r="AN14" s="7" t="s">
        <v>56</v>
      </c>
      <c r="AO14" s="7" t="s">
        <v>57</v>
      </c>
      <c r="AR14" s="7">
        <v>7</v>
      </c>
      <c r="AS14" s="7" t="s">
        <v>42</v>
      </c>
      <c r="AT14" s="7" t="s">
        <v>66</v>
      </c>
      <c r="AU14" s="7">
        <v>1007</v>
      </c>
      <c r="AV14" s="30">
        <f t="shared" si="2"/>
        <v>17</v>
      </c>
      <c r="AW14" s="30">
        <f t="shared" si="7"/>
        <v>7</v>
      </c>
      <c r="AX14" s="30">
        <f t="shared" si="3"/>
        <v>3</v>
      </c>
      <c r="AY14" s="31">
        <f t="shared" si="4"/>
        <v>4</v>
      </c>
      <c r="AZ14" s="31">
        <f t="shared" si="6"/>
        <v>31</v>
      </c>
      <c r="BA14" s="32">
        <f>Table136[[#This Row],[Days]]-Table136[[#This Row],[Absent]]</f>
        <v>24</v>
      </c>
      <c r="BB14" s="33">
        <v>5100</v>
      </c>
      <c r="BC14" s="36">
        <f>Table136[[#This Row],[Salary]]/Table136[[#This Row],[Days]]</f>
        <v>164.51612903225808</v>
      </c>
      <c r="BD14" s="34">
        <f>Table136[[#This Row],[Per Day Salary]]*Table136[[#This Row],[Absent]]</f>
        <v>1151.6129032258066</v>
      </c>
      <c r="BE14" s="33">
        <f>Table136[[#This Row],[Salary]]-Table136[[#This Row],[Deduction ]]</f>
        <v>3948.3870967741932</v>
      </c>
    </row>
    <row r="15" spans="6:66" x14ac:dyDescent="0.35">
      <c r="G15" s="7">
        <v>8</v>
      </c>
      <c r="H15" s="27" t="s">
        <v>43</v>
      </c>
      <c r="I15" s="7">
        <v>1008</v>
      </c>
      <c r="J15" s="15">
        <f t="shared" si="5"/>
        <v>4</v>
      </c>
      <c r="K15" s="7" t="s">
        <v>36</v>
      </c>
      <c r="L15" s="7" t="s">
        <v>36</v>
      </c>
      <c r="M15" s="7" t="s">
        <v>36</v>
      </c>
      <c r="N15" s="7" t="s">
        <v>58</v>
      </c>
      <c r="O15" s="7" t="s">
        <v>36</v>
      </c>
      <c r="P15" s="7" t="s">
        <v>36</v>
      </c>
      <c r="Q15" s="7" t="s">
        <v>56</v>
      </c>
      <c r="R15" s="7" t="s">
        <v>56</v>
      </c>
      <c r="S15" s="7" t="s">
        <v>56</v>
      </c>
      <c r="T15" s="7" t="s">
        <v>57</v>
      </c>
      <c r="U15" s="7" t="s">
        <v>58</v>
      </c>
      <c r="V15" s="7" t="s">
        <v>36</v>
      </c>
      <c r="W15" s="7" t="s">
        <v>36</v>
      </c>
      <c r="X15" s="7" t="s">
        <v>56</v>
      </c>
      <c r="Y15" s="7" t="s">
        <v>56</v>
      </c>
      <c r="Z15" s="7" t="s">
        <v>57</v>
      </c>
      <c r="AA15" s="7" t="s">
        <v>36</v>
      </c>
      <c r="AB15" s="7" t="s">
        <v>58</v>
      </c>
      <c r="AC15" s="7" t="s">
        <v>36</v>
      </c>
      <c r="AD15" s="7" t="s">
        <v>36</v>
      </c>
      <c r="AE15" s="7" t="s">
        <v>36</v>
      </c>
      <c r="AF15" s="7" t="s">
        <v>36</v>
      </c>
      <c r="AG15" s="7" t="s">
        <v>36</v>
      </c>
      <c r="AH15" s="7" t="s">
        <v>36</v>
      </c>
      <c r="AI15" s="7" t="s">
        <v>58</v>
      </c>
      <c r="AJ15" s="7" t="s">
        <v>36</v>
      </c>
      <c r="AK15" s="7" t="s">
        <v>36</v>
      </c>
      <c r="AL15" s="7" t="s">
        <v>36</v>
      </c>
      <c r="AM15" s="7" t="s">
        <v>56</v>
      </c>
      <c r="AN15" s="7" t="s">
        <v>56</v>
      </c>
      <c r="AO15" s="7" t="s">
        <v>57</v>
      </c>
      <c r="AR15" s="7">
        <v>8</v>
      </c>
      <c r="AS15" s="7" t="s">
        <v>43</v>
      </c>
      <c r="AT15" s="7" t="s">
        <v>66</v>
      </c>
      <c r="AU15" s="7">
        <v>1008</v>
      </c>
      <c r="AV15" s="30">
        <f t="shared" si="2"/>
        <v>17</v>
      </c>
      <c r="AW15" s="30">
        <f t="shared" si="7"/>
        <v>7</v>
      </c>
      <c r="AX15" s="30">
        <f t="shared" si="3"/>
        <v>3</v>
      </c>
      <c r="AY15" s="31">
        <f t="shared" si="4"/>
        <v>4</v>
      </c>
      <c r="AZ15" s="31">
        <f t="shared" si="6"/>
        <v>31</v>
      </c>
      <c r="BA15" s="32">
        <f>Table136[[#This Row],[Days]]-Table136[[#This Row],[Absent]]</f>
        <v>24</v>
      </c>
      <c r="BB15" s="33">
        <v>5200</v>
      </c>
      <c r="BC15" s="36">
        <f>Table136[[#This Row],[Salary]]/Table136[[#This Row],[Days]]</f>
        <v>167.74193548387098</v>
      </c>
      <c r="BD15" s="34">
        <f>Table136[[#This Row],[Per Day Salary]]*Table136[[#This Row],[Absent]]</f>
        <v>1174.1935483870968</v>
      </c>
      <c r="BE15" s="33">
        <f>Table136[[#This Row],[Salary]]-Table136[[#This Row],[Deduction ]]</f>
        <v>4025.8064516129034</v>
      </c>
    </row>
    <row r="16" spans="6:66" ht="15" thickBot="1" x14ac:dyDescent="0.4">
      <c r="G16" s="7">
        <v>9</v>
      </c>
      <c r="H16" s="27" t="s">
        <v>44</v>
      </c>
      <c r="I16" s="7">
        <v>1009</v>
      </c>
      <c r="J16" s="15">
        <f t="shared" si="5"/>
        <v>4</v>
      </c>
      <c r="K16" s="7" t="s">
        <v>36</v>
      </c>
      <c r="L16" s="7" t="s">
        <v>36</v>
      </c>
      <c r="M16" s="7" t="s">
        <v>36</v>
      </c>
      <c r="N16" s="7" t="s">
        <v>58</v>
      </c>
      <c r="O16" s="7" t="s">
        <v>36</v>
      </c>
      <c r="P16" s="7" t="s">
        <v>36</v>
      </c>
      <c r="Q16" s="7" t="s">
        <v>56</v>
      </c>
      <c r="R16" s="7" t="s">
        <v>56</v>
      </c>
      <c r="S16" s="7" t="s">
        <v>56</v>
      </c>
      <c r="T16" s="7" t="s">
        <v>57</v>
      </c>
      <c r="U16" s="7" t="s">
        <v>58</v>
      </c>
      <c r="V16" s="7" t="s">
        <v>36</v>
      </c>
      <c r="W16" s="7" t="s">
        <v>36</v>
      </c>
      <c r="X16" s="7" t="s">
        <v>56</v>
      </c>
      <c r="Y16" s="7" t="s">
        <v>56</v>
      </c>
      <c r="Z16" s="7" t="s">
        <v>57</v>
      </c>
      <c r="AA16" s="7" t="s">
        <v>36</v>
      </c>
      <c r="AB16" s="7" t="s">
        <v>58</v>
      </c>
      <c r="AC16" s="7" t="s">
        <v>36</v>
      </c>
      <c r="AD16" s="7" t="s">
        <v>36</v>
      </c>
      <c r="AE16" s="7" t="s">
        <v>36</v>
      </c>
      <c r="AF16" s="7" t="s">
        <v>36</v>
      </c>
      <c r="AG16" s="7" t="s">
        <v>36</v>
      </c>
      <c r="AH16" s="7" t="s">
        <v>36</v>
      </c>
      <c r="AI16" s="7" t="s">
        <v>58</v>
      </c>
      <c r="AJ16" s="7" t="s">
        <v>36</v>
      </c>
      <c r="AK16" s="7" t="s">
        <v>36</v>
      </c>
      <c r="AL16" s="7" t="s">
        <v>36</v>
      </c>
      <c r="AM16" s="7" t="s">
        <v>56</v>
      </c>
      <c r="AN16" s="7" t="s">
        <v>56</v>
      </c>
      <c r="AO16" s="7" t="s">
        <v>57</v>
      </c>
      <c r="AR16" s="7">
        <v>9</v>
      </c>
      <c r="AS16" s="7" t="s">
        <v>44</v>
      </c>
      <c r="AT16" s="7" t="s">
        <v>66</v>
      </c>
      <c r="AU16" s="7">
        <v>1009</v>
      </c>
      <c r="AV16" s="30">
        <f t="shared" si="2"/>
        <v>17</v>
      </c>
      <c r="AW16" s="30">
        <f t="shared" si="7"/>
        <v>7</v>
      </c>
      <c r="AX16" s="30">
        <f t="shared" si="3"/>
        <v>3</v>
      </c>
      <c r="AY16" s="31">
        <f t="shared" si="4"/>
        <v>4</v>
      </c>
      <c r="AZ16" s="31">
        <f t="shared" si="6"/>
        <v>31</v>
      </c>
      <c r="BA16" s="32">
        <f>Table136[[#This Row],[Days]]-Table136[[#This Row],[Absent]]</f>
        <v>24</v>
      </c>
      <c r="BB16" s="33">
        <v>5300</v>
      </c>
      <c r="BC16" s="36">
        <f>Table136[[#This Row],[Salary]]/Table136[[#This Row],[Days]]</f>
        <v>170.96774193548387</v>
      </c>
      <c r="BD16" s="34">
        <f>Table136[[#This Row],[Per Day Salary]]*Table136[[#This Row],[Absent]]</f>
        <v>1196.7741935483871</v>
      </c>
      <c r="BE16" s="33">
        <f>Table136[[#This Row],[Salary]]-Table136[[#This Row],[Deduction ]]</f>
        <v>4103.2258064516127</v>
      </c>
    </row>
    <row r="17" spans="7:60" ht="13.5" customHeight="1" thickBot="1" x14ac:dyDescent="0.4">
      <c r="G17" s="7">
        <v>10</v>
      </c>
      <c r="H17" s="27" t="s">
        <v>45</v>
      </c>
      <c r="I17" s="7">
        <v>1010</v>
      </c>
      <c r="J17" s="15">
        <f t="shared" si="5"/>
        <v>4</v>
      </c>
      <c r="K17" s="7" t="s">
        <v>36</v>
      </c>
      <c r="L17" s="7" t="s">
        <v>36</v>
      </c>
      <c r="M17" s="7" t="s">
        <v>36</v>
      </c>
      <c r="N17" s="7" t="s">
        <v>58</v>
      </c>
      <c r="O17" s="7" t="s">
        <v>36</v>
      </c>
      <c r="P17" s="7" t="s">
        <v>36</v>
      </c>
      <c r="Q17" s="7" t="s">
        <v>56</v>
      </c>
      <c r="R17" s="7" t="s">
        <v>56</v>
      </c>
      <c r="S17" s="7" t="s">
        <v>56</v>
      </c>
      <c r="T17" s="7" t="s">
        <v>57</v>
      </c>
      <c r="U17" s="7" t="s">
        <v>58</v>
      </c>
      <c r="V17" s="7" t="s">
        <v>36</v>
      </c>
      <c r="W17" s="7" t="s">
        <v>36</v>
      </c>
      <c r="X17" s="7" t="s">
        <v>56</v>
      </c>
      <c r="Y17" s="7" t="s">
        <v>56</v>
      </c>
      <c r="Z17" s="7" t="s">
        <v>57</v>
      </c>
      <c r="AA17" s="7" t="s">
        <v>36</v>
      </c>
      <c r="AB17" s="7" t="s">
        <v>58</v>
      </c>
      <c r="AC17" s="7" t="s">
        <v>36</v>
      </c>
      <c r="AD17" s="7" t="s">
        <v>36</v>
      </c>
      <c r="AE17" s="7" t="s">
        <v>36</v>
      </c>
      <c r="AF17" s="7" t="s">
        <v>36</v>
      </c>
      <c r="AG17" s="7" t="s">
        <v>36</v>
      </c>
      <c r="AH17" s="7" t="s">
        <v>36</v>
      </c>
      <c r="AI17" s="7" t="s">
        <v>58</v>
      </c>
      <c r="AJ17" s="7" t="s">
        <v>36</v>
      </c>
      <c r="AK17" s="7" t="s">
        <v>36</v>
      </c>
      <c r="AL17" s="7" t="s">
        <v>36</v>
      </c>
      <c r="AM17" s="7" t="s">
        <v>56</v>
      </c>
      <c r="AN17" s="7" t="s">
        <v>56</v>
      </c>
      <c r="AO17" s="7" t="s">
        <v>57</v>
      </c>
      <c r="AR17" s="7">
        <v>10</v>
      </c>
      <c r="AS17" s="7" t="s">
        <v>45</v>
      </c>
      <c r="AT17" s="7" t="s">
        <v>66</v>
      </c>
      <c r="AU17" s="7">
        <v>1010</v>
      </c>
      <c r="AV17" s="30">
        <f t="shared" si="2"/>
        <v>17</v>
      </c>
      <c r="AW17" s="30">
        <f t="shared" si="7"/>
        <v>7</v>
      </c>
      <c r="AX17" s="30">
        <f t="shared" si="3"/>
        <v>3</v>
      </c>
      <c r="AY17" s="31">
        <f t="shared" si="4"/>
        <v>4</v>
      </c>
      <c r="AZ17" s="31">
        <f t="shared" si="6"/>
        <v>31</v>
      </c>
      <c r="BA17" s="32">
        <f>Table136[[#This Row],[Days]]-Table136[[#This Row],[Absent]]</f>
        <v>24</v>
      </c>
      <c r="BB17" s="33">
        <v>5400</v>
      </c>
      <c r="BC17" s="36">
        <f>Table136[[#This Row],[Salary]]/Table136[[#This Row],[Days]]</f>
        <v>174.19354838709677</v>
      </c>
      <c r="BD17" s="34">
        <f>Table136[[#This Row],[Per Day Salary]]*Table136[[#This Row],[Absent]]</f>
        <v>1219.3548387096773</v>
      </c>
      <c r="BE17" s="33">
        <f>Table136[[#This Row],[Salary]]-Table136[[#This Row],[Deduction ]]</f>
        <v>4180.6451612903229</v>
      </c>
      <c r="BH17" s="19"/>
    </row>
    <row r="18" spans="7:60" x14ac:dyDescent="0.35">
      <c r="G18" s="7">
        <v>11</v>
      </c>
      <c r="H18" s="27" t="s">
        <v>46</v>
      </c>
      <c r="I18" s="7">
        <v>1011</v>
      </c>
      <c r="J18" s="15">
        <f t="shared" si="5"/>
        <v>4</v>
      </c>
      <c r="K18" s="7" t="s">
        <v>36</v>
      </c>
      <c r="L18" s="7" t="s">
        <v>36</v>
      </c>
      <c r="M18" s="7" t="s">
        <v>36</v>
      </c>
      <c r="N18" s="7" t="s">
        <v>58</v>
      </c>
      <c r="O18" s="7" t="s">
        <v>36</v>
      </c>
      <c r="P18" s="7" t="s">
        <v>36</v>
      </c>
      <c r="Q18" s="7" t="s">
        <v>56</v>
      </c>
      <c r="R18" s="7" t="s">
        <v>56</v>
      </c>
      <c r="S18" s="7" t="s">
        <v>56</v>
      </c>
      <c r="T18" s="7" t="s">
        <v>57</v>
      </c>
      <c r="U18" s="7" t="s">
        <v>58</v>
      </c>
      <c r="V18" s="7" t="s">
        <v>36</v>
      </c>
      <c r="W18" s="7" t="s">
        <v>36</v>
      </c>
      <c r="X18" s="7" t="s">
        <v>56</v>
      </c>
      <c r="Y18" s="7" t="s">
        <v>56</v>
      </c>
      <c r="Z18" s="7" t="s">
        <v>57</v>
      </c>
      <c r="AA18" s="7" t="s">
        <v>36</v>
      </c>
      <c r="AB18" s="7" t="s">
        <v>58</v>
      </c>
      <c r="AC18" s="7" t="s">
        <v>36</v>
      </c>
      <c r="AD18" s="7" t="s">
        <v>36</v>
      </c>
      <c r="AE18" s="7" t="s">
        <v>36</v>
      </c>
      <c r="AF18" s="7" t="s">
        <v>36</v>
      </c>
      <c r="AG18" s="7" t="s">
        <v>36</v>
      </c>
      <c r="AH18" s="7" t="s">
        <v>36</v>
      </c>
      <c r="AI18" s="7" t="s">
        <v>58</v>
      </c>
      <c r="AJ18" s="7" t="s">
        <v>36</v>
      </c>
      <c r="AK18" s="7" t="s">
        <v>36</v>
      </c>
      <c r="AL18" s="7" t="s">
        <v>36</v>
      </c>
      <c r="AM18" s="7" t="s">
        <v>56</v>
      </c>
      <c r="AN18" s="7" t="s">
        <v>56</v>
      </c>
      <c r="AO18" s="7" t="s">
        <v>57</v>
      </c>
      <c r="AR18" s="7">
        <v>11</v>
      </c>
      <c r="AS18" s="7" t="s">
        <v>46</v>
      </c>
      <c r="AT18" s="7" t="s">
        <v>66</v>
      </c>
      <c r="AU18" s="7">
        <v>1011</v>
      </c>
      <c r="AV18" s="30">
        <f t="shared" si="2"/>
        <v>17</v>
      </c>
      <c r="AW18" s="30">
        <f t="shared" si="7"/>
        <v>7</v>
      </c>
      <c r="AX18" s="30">
        <f t="shared" si="3"/>
        <v>3</v>
      </c>
      <c r="AY18" s="31">
        <f t="shared" si="4"/>
        <v>4</v>
      </c>
      <c r="AZ18" s="31">
        <f t="shared" si="6"/>
        <v>31</v>
      </c>
      <c r="BA18" s="32">
        <f>Table136[[#This Row],[Days]]-Table136[[#This Row],[Absent]]</f>
        <v>24</v>
      </c>
      <c r="BB18" s="33">
        <v>5500</v>
      </c>
      <c r="BC18" s="36">
        <f>Table136[[#This Row],[Salary]]/Table136[[#This Row],[Days]]</f>
        <v>177.41935483870967</v>
      </c>
      <c r="BD18" s="34">
        <f>Table136[[#This Row],[Per Day Salary]]*Table136[[#This Row],[Absent]]</f>
        <v>1241.9354838709676</v>
      </c>
      <c r="BE18" s="33">
        <f>Table136[[#This Row],[Salary]]-Table136[[#This Row],[Deduction ]]</f>
        <v>4258.0645161290322</v>
      </c>
    </row>
    <row r="19" spans="7:60" x14ac:dyDescent="0.35">
      <c r="G19" s="7">
        <v>12</v>
      </c>
      <c r="H19" s="27" t="s">
        <v>47</v>
      </c>
      <c r="I19" s="7">
        <v>1012</v>
      </c>
      <c r="J19" s="15">
        <f t="shared" si="5"/>
        <v>4</v>
      </c>
      <c r="K19" s="7" t="s">
        <v>36</v>
      </c>
      <c r="L19" s="7" t="s">
        <v>36</v>
      </c>
      <c r="M19" s="7" t="s">
        <v>36</v>
      </c>
      <c r="N19" s="7" t="s">
        <v>58</v>
      </c>
      <c r="O19" s="7" t="s">
        <v>36</v>
      </c>
      <c r="P19" s="7" t="s">
        <v>36</v>
      </c>
      <c r="Q19" s="7" t="s">
        <v>56</v>
      </c>
      <c r="R19" s="7" t="s">
        <v>56</v>
      </c>
      <c r="S19" s="7" t="s">
        <v>56</v>
      </c>
      <c r="T19" s="7" t="s">
        <v>57</v>
      </c>
      <c r="U19" s="7" t="s">
        <v>58</v>
      </c>
      <c r="V19" s="7" t="s">
        <v>36</v>
      </c>
      <c r="W19" s="7" t="s">
        <v>36</v>
      </c>
      <c r="X19" s="7" t="s">
        <v>56</v>
      </c>
      <c r="Y19" s="7" t="s">
        <v>56</v>
      </c>
      <c r="Z19" s="7" t="s">
        <v>57</v>
      </c>
      <c r="AA19" s="7" t="s">
        <v>36</v>
      </c>
      <c r="AB19" s="7" t="s">
        <v>58</v>
      </c>
      <c r="AC19" s="7" t="s">
        <v>36</v>
      </c>
      <c r="AD19" s="7" t="s">
        <v>36</v>
      </c>
      <c r="AE19" s="7" t="s">
        <v>36</v>
      </c>
      <c r="AF19" s="7" t="s">
        <v>36</v>
      </c>
      <c r="AG19" s="7" t="s">
        <v>36</v>
      </c>
      <c r="AH19" s="7" t="s">
        <v>36</v>
      </c>
      <c r="AI19" s="7" t="s">
        <v>58</v>
      </c>
      <c r="AJ19" s="7" t="s">
        <v>36</v>
      </c>
      <c r="AK19" s="7" t="s">
        <v>36</v>
      </c>
      <c r="AL19" s="7" t="s">
        <v>36</v>
      </c>
      <c r="AM19" s="7" t="s">
        <v>56</v>
      </c>
      <c r="AN19" s="7" t="s">
        <v>56</v>
      </c>
      <c r="AO19" s="7" t="s">
        <v>57</v>
      </c>
      <c r="AR19" s="7">
        <v>12</v>
      </c>
      <c r="AS19" s="7" t="s">
        <v>47</v>
      </c>
      <c r="AT19" s="7" t="s">
        <v>66</v>
      </c>
      <c r="AU19" s="7">
        <v>1012</v>
      </c>
      <c r="AV19" s="30">
        <f t="shared" si="2"/>
        <v>17</v>
      </c>
      <c r="AW19" s="30">
        <f t="shared" si="7"/>
        <v>7</v>
      </c>
      <c r="AX19" s="30">
        <f t="shared" si="3"/>
        <v>3</v>
      </c>
      <c r="AY19" s="31">
        <f t="shared" si="4"/>
        <v>4</v>
      </c>
      <c r="AZ19" s="31">
        <f t="shared" si="6"/>
        <v>31</v>
      </c>
      <c r="BA19" s="32">
        <f>Table136[[#This Row],[Days]]-Table136[[#This Row],[Absent]]</f>
        <v>24</v>
      </c>
      <c r="BB19" s="33">
        <v>5600</v>
      </c>
      <c r="BC19" s="36">
        <f>Table136[[#This Row],[Salary]]/Table136[[#This Row],[Days]]</f>
        <v>180.64516129032259</v>
      </c>
      <c r="BD19" s="34">
        <f>Table136[[#This Row],[Per Day Salary]]*Table136[[#This Row],[Absent]]</f>
        <v>1264.516129032258</v>
      </c>
      <c r="BE19" s="33">
        <f>Table136[[#This Row],[Salary]]-Table136[[#This Row],[Deduction ]]</f>
        <v>4335.4838709677424</v>
      </c>
    </row>
    <row r="20" spans="7:60" x14ac:dyDescent="0.35">
      <c r="G20" s="7">
        <v>13</v>
      </c>
      <c r="H20" s="27" t="s">
        <v>48</v>
      </c>
      <c r="I20" s="7">
        <v>1013</v>
      </c>
      <c r="J20" s="15">
        <f t="shared" si="5"/>
        <v>4</v>
      </c>
      <c r="K20" s="7" t="s">
        <v>36</v>
      </c>
      <c r="L20" s="7" t="s">
        <v>36</v>
      </c>
      <c r="M20" s="7" t="s">
        <v>36</v>
      </c>
      <c r="N20" s="7" t="s">
        <v>58</v>
      </c>
      <c r="O20" s="7" t="s">
        <v>36</v>
      </c>
      <c r="P20" s="7" t="s">
        <v>36</v>
      </c>
      <c r="Q20" s="7" t="s">
        <v>56</v>
      </c>
      <c r="R20" s="7" t="s">
        <v>56</v>
      </c>
      <c r="S20" s="7" t="s">
        <v>56</v>
      </c>
      <c r="T20" s="7" t="s">
        <v>57</v>
      </c>
      <c r="U20" s="7" t="s">
        <v>58</v>
      </c>
      <c r="V20" s="7" t="s">
        <v>36</v>
      </c>
      <c r="W20" s="7" t="s">
        <v>36</v>
      </c>
      <c r="X20" s="7" t="s">
        <v>56</v>
      </c>
      <c r="Y20" s="7" t="s">
        <v>56</v>
      </c>
      <c r="Z20" s="7" t="s">
        <v>57</v>
      </c>
      <c r="AA20" s="7" t="s">
        <v>36</v>
      </c>
      <c r="AB20" s="7" t="s">
        <v>58</v>
      </c>
      <c r="AC20" s="7" t="s">
        <v>36</v>
      </c>
      <c r="AD20" s="7" t="s">
        <v>36</v>
      </c>
      <c r="AE20" s="7" t="s">
        <v>36</v>
      </c>
      <c r="AF20" s="7" t="s">
        <v>36</v>
      </c>
      <c r="AG20" s="7" t="s">
        <v>36</v>
      </c>
      <c r="AH20" s="7" t="s">
        <v>36</v>
      </c>
      <c r="AI20" s="7" t="s">
        <v>58</v>
      </c>
      <c r="AJ20" s="7" t="s">
        <v>36</v>
      </c>
      <c r="AK20" s="7" t="s">
        <v>36</v>
      </c>
      <c r="AL20" s="7" t="s">
        <v>36</v>
      </c>
      <c r="AM20" s="7" t="s">
        <v>56</v>
      </c>
      <c r="AN20" s="7" t="s">
        <v>56</v>
      </c>
      <c r="AO20" s="7" t="s">
        <v>57</v>
      </c>
      <c r="AR20" s="7">
        <v>13</v>
      </c>
      <c r="AS20" s="7" t="s">
        <v>48</v>
      </c>
      <c r="AT20" s="7" t="s">
        <v>66</v>
      </c>
      <c r="AU20" s="7">
        <v>1013</v>
      </c>
      <c r="AV20" s="30">
        <f t="shared" si="2"/>
        <v>17</v>
      </c>
      <c r="AW20" s="30">
        <f t="shared" si="7"/>
        <v>7</v>
      </c>
      <c r="AX20" s="30">
        <f t="shared" si="3"/>
        <v>3</v>
      </c>
      <c r="AY20" s="31">
        <f t="shared" si="4"/>
        <v>4</v>
      </c>
      <c r="AZ20" s="31">
        <f t="shared" si="6"/>
        <v>31</v>
      </c>
      <c r="BA20" s="32">
        <f>Table136[[#This Row],[Days]]-Table136[[#This Row],[Absent]]</f>
        <v>24</v>
      </c>
      <c r="BB20" s="33">
        <v>5700</v>
      </c>
      <c r="BC20" s="36">
        <f>Table136[[#This Row],[Salary]]/Table136[[#This Row],[Days]]</f>
        <v>183.87096774193549</v>
      </c>
      <c r="BD20" s="34">
        <f>Table136[[#This Row],[Per Day Salary]]*Table136[[#This Row],[Absent]]</f>
        <v>1287.0967741935483</v>
      </c>
      <c r="BE20" s="33">
        <f>Table136[[#This Row],[Salary]]-Table136[[#This Row],[Deduction ]]</f>
        <v>4412.9032258064517</v>
      </c>
    </row>
    <row r="21" spans="7:60" x14ac:dyDescent="0.35">
      <c r="G21" s="7">
        <v>14</v>
      </c>
      <c r="H21" s="27" t="s">
        <v>49</v>
      </c>
      <c r="I21" s="7">
        <v>1014</v>
      </c>
      <c r="J21" s="15">
        <f t="shared" si="5"/>
        <v>4</v>
      </c>
      <c r="K21" s="7" t="s">
        <v>36</v>
      </c>
      <c r="L21" s="7" t="s">
        <v>36</v>
      </c>
      <c r="M21" s="7" t="s">
        <v>36</v>
      </c>
      <c r="N21" s="7" t="s">
        <v>58</v>
      </c>
      <c r="O21" s="7" t="s">
        <v>36</v>
      </c>
      <c r="P21" s="7" t="s">
        <v>36</v>
      </c>
      <c r="Q21" s="7" t="s">
        <v>56</v>
      </c>
      <c r="R21" s="7" t="s">
        <v>56</v>
      </c>
      <c r="S21" s="7" t="s">
        <v>56</v>
      </c>
      <c r="T21" s="7" t="s">
        <v>57</v>
      </c>
      <c r="U21" s="7" t="s">
        <v>58</v>
      </c>
      <c r="V21" s="7" t="s">
        <v>36</v>
      </c>
      <c r="W21" s="7" t="s">
        <v>36</v>
      </c>
      <c r="X21" s="7" t="s">
        <v>56</v>
      </c>
      <c r="Y21" s="7" t="s">
        <v>56</v>
      </c>
      <c r="Z21" s="7" t="s">
        <v>57</v>
      </c>
      <c r="AA21" s="7" t="s">
        <v>36</v>
      </c>
      <c r="AB21" s="7" t="s">
        <v>58</v>
      </c>
      <c r="AC21" s="7" t="s">
        <v>36</v>
      </c>
      <c r="AD21" s="7" t="s">
        <v>36</v>
      </c>
      <c r="AE21" s="7" t="s">
        <v>36</v>
      </c>
      <c r="AF21" s="7" t="s">
        <v>36</v>
      </c>
      <c r="AG21" s="7" t="s">
        <v>36</v>
      </c>
      <c r="AH21" s="7" t="s">
        <v>36</v>
      </c>
      <c r="AI21" s="7" t="s">
        <v>58</v>
      </c>
      <c r="AJ21" s="7" t="s">
        <v>36</v>
      </c>
      <c r="AK21" s="7" t="s">
        <v>36</v>
      </c>
      <c r="AL21" s="7" t="s">
        <v>36</v>
      </c>
      <c r="AM21" s="7" t="s">
        <v>56</v>
      </c>
      <c r="AN21" s="7" t="s">
        <v>56</v>
      </c>
      <c r="AO21" s="7" t="s">
        <v>57</v>
      </c>
      <c r="AR21" s="7">
        <v>14</v>
      </c>
      <c r="AS21" s="7" t="s">
        <v>49</v>
      </c>
      <c r="AT21" s="7" t="s">
        <v>66</v>
      </c>
      <c r="AU21" s="7">
        <v>1014</v>
      </c>
      <c r="AV21" s="30">
        <f t="shared" si="2"/>
        <v>17</v>
      </c>
      <c r="AW21" s="30">
        <f t="shared" si="7"/>
        <v>7</v>
      </c>
      <c r="AX21" s="30">
        <f t="shared" si="3"/>
        <v>3</v>
      </c>
      <c r="AY21" s="31">
        <f t="shared" si="4"/>
        <v>4</v>
      </c>
      <c r="AZ21" s="31">
        <f t="shared" si="6"/>
        <v>31</v>
      </c>
      <c r="BA21" s="32">
        <f>Table136[[#This Row],[Days]]-Table136[[#This Row],[Absent]]</f>
        <v>24</v>
      </c>
      <c r="BB21" s="33">
        <v>5800</v>
      </c>
      <c r="BC21" s="36">
        <f>Table136[[#This Row],[Salary]]/Table136[[#This Row],[Days]]</f>
        <v>187.09677419354838</v>
      </c>
      <c r="BD21" s="34">
        <f>Table136[[#This Row],[Per Day Salary]]*Table136[[#This Row],[Absent]]</f>
        <v>1309.6774193548388</v>
      </c>
      <c r="BE21" s="33">
        <f>Table136[[#This Row],[Salary]]-Table136[[#This Row],[Deduction ]]</f>
        <v>4490.322580645161</v>
      </c>
    </row>
    <row r="22" spans="7:60" x14ac:dyDescent="0.35">
      <c r="G22" s="7">
        <v>15</v>
      </c>
      <c r="H22" s="27" t="s">
        <v>50</v>
      </c>
      <c r="I22" s="7">
        <v>1015</v>
      </c>
      <c r="J22" s="15">
        <f t="shared" si="5"/>
        <v>4</v>
      </c>
      <c r="K22" s="7" t="s">
        <v>36</v>
      </c>
      <c r="L22" s="7" t="s">
        <v>36</v>
      </c>
      <c r="M22" s="7" t="s">
        <v>36</v>
      </c>
      <c r="N22" s="7" t="s">
        <v>58</v>
      </c>
      <c r="O22" s="7" t="s">
        <v>36</v>
      </c>
      <c r="P22" s="7" t="s">
        <v>36</v>
      </c>
      <c r="Q22" s="7" t="s">
        <v>56</v>
      </c>
      <c r="R22" s="7" t="s">
        <v>56</v>
      </c>
      <c r="S22" s="7" t="s">
        <v>56</v>
      </c>
      <c r="T22" s="7" t="s">
        <v>57</v>
      </c>
      <c r="U22" s="7" t="s">
        <v>58</v>
      </c>
      <c r="V22" s="7" t="s">
        <v>36</v>
      </c>
      <c r="W22" s="7" t="s">
        <v>36</v>
      </c>
      <c r="X22" s="7" t="s">
        <v>56</v>
      </c>
      <c r="Y22" s="7" t="s">
        <v>56</v>
      </c>
      <c r="Z22" s="7" t="s">
        <v>57</v>
      </c>
      <c r="AA22" s="7" t="s">
        <v>36</v>
      </c>
      <c r="AB22" s="7" t="s">
        <v>58</v>
      </c>
      <c r="AC22" s="7" t="s">
        <v>36</v>
      </c>
      <c r="AD22" s="7" t="s">
        <v>36</v>
      </c>
      <c r="AE22" s="7" t="s">
        <v>36</v>
      </c>
      <c r="AF22" s="7" t="s">
        <v>36</v>
      </c>
      <c r="AG22" s="7" t="s">
        <v>36</v>
      </c>
      <c r="AH22" s="7" t="s">
        <v>36</v>
      </c>
      <c r="AI22" s="7" t="s">
        <v>58</v>
      </c>
      <c r="AJ22" s="7" t="s">
        <v>36</v>
      </c>
      <c r="AK22" s="7" t="s">
        <v>36</v>
      </c>
      <c r="AL22" s="7" t="s">
        <v>36</v>
      </c>
      <c r="AM22" s="7" t="s">
        <v>56</v>
      </c>
      <c r="AN22" s="7" t="s">
        <v>56</v>
      </c>
      <c r="AO22" s="7" t="s">
        <v>57</v>
      </c>
      <c r="AR22" s="7">
        <v>15</v>
      </c>
      <c r="AS22" s="7" t="s">
        <v>50</v>
      </c>
      <c r="AT22" s="7" t="s">
        <v>66</v>
      </c>
      <c r="AU22" s="7">
        <v>1015</v>
      </c>
      <c r="AV22" s="30">
        <f t="shared" si="2"/>
        <v>17</v>
      </c>
      <c r="AW22" s="30">
        <f t="shared" si="7"/>
        <v>7</v>
      </c>
      <c r="AX22" s="30">
        <f t="shared" si="3"/>
        <v>3</v>
      </c>
      <c r="AY22" s="31">
        <f t="shared" si="4"/>
        <v>4</v>
      </c>
      <c r="AZ22" s="31">
        <f t="shared" si="6"/>
        <v>31</v>
      </c>
      <c r="BA22" s="32">
        <f>Table136[[#This Row],[Days]]-Table136[[#This Row],[Absent]]</f>
        <v>24</v>
      </c>
      <c r="BB22" s="33">
        <v>5900</v>
      </c>
      <c r="BC22" s="36">
        <f>Table136[[#This Row],[Salary]]/Table136[[#This Row],[Days]]</f>
        <v>190.32258064516128</v>
      </c>
      <c r="BD22" s="34">
        <f>Table136[[#This Row],[Per Day Salary]]*Table136[[#This Row],[Absent]]</f>
        <v>1332.258064516129</v>
      </c>
      <c r="BE22" s="33">
        <f>Table136[[#This Row],[Salary]]-Table136[[#This Row],[Deduction ]]</f>
        <v>4567.7419354838712</v>
      </c>
    </row>
    <row r="23" spans="7:60" x14ac:dyDescent="0.35">
      <c r="G23" s="7">
        <v>16</v>
      </c>
      <c r="H23" s="27" t="s">
        <v>51</v>
      </c>
      <c r="I23" s="7">
        <v>1016</v>
      </c>
      <c r="J23" s="15">
        <f t="shared" si="5"/>
        <v>4</v>
      </c>
      <c r="K23" s="7" t="s">
        <v>36</v>
      </c>
      <c r="L23" s="7" t="s">
        <v>36</v>
      </c>
      <c r="M23" s="7" t="s">
        <v>36</v>
      </c>
      <c r="N23" s="7" t="s">
        <v>58</v>
      </c>
      <c r="O23" s="7" t="s">
        <v>36</v>
      </c>
      <c r="P23" s="7" t="s">
        <v>36</v>
      </c>
      <c r="Q23" s="7" t="s">
        <v>56</v>
      </c>
      <c r="R23" s="7" t="s">
        <v>56</v>
      </c>
      <c r="S23" s="7" t="s">
        <v>56</v>
      </c>
      <c r="T23" s="7" t="s">
        <v>57</v>
      </c>
      <c r="U23" s="7" t="s">
        <v>58</v>
      </c>
      <c r="V23" s="7" t="s">
        <v>36</v>
      </c>
      <c r="W23" s="7" t="s">
        <v>36</v>
      </c>
      <c r="X23" s="7" t="s">
        <v>56</v>
      </c>
      <c r="Y23" s="7" t="s">
        <v>56</v>
      </c>
      <c r="Z23" s="7" t="s">
        <v>57</v>
      </c>
      <c r="AA23" s="7" t="s">
        <v>36</v>
      </c>
      <c r="AB23" s="7" t="s">
        <v>58</v>
      </c>
      <c r="AC23" s="7" t="s">
        <v>36</v>
      </c>
      <c r="AD23" s="7" t="s">
        <v>36</v>
      </c>
      <c r="AE23" s="7" t="s">
        <v>36</v>
      </c>
      <c r="AF23" s="7" t="s">
        <v>36</v>
      </c>
      <c r="AG23" s="7" t="s">
        <v>36</v>
      </c>
      <c r="AH23" s="7" t="s">
        <v>36</v>
      </c>
      <c r="AI23" s="7" t="s">
        <v>58</v>
      </c>
      <c r="AJ23" s="7" t="s">
        <v>36</v>
      </c>
      <c r="AK23" s="7" t="s">
        <v>36</v>
      </c>
      <c r="AL23" s="7" t="s">
        <v>36</v>
      </c>
      <c r="AM23" s="7" t="s">
        <v>56</v>
      </c>
      <c r="AN23" s="7" t="s">
        <v>56</v>
      </c>
      <c r="AO23" s="7" t="s">
        <v>57</v>
      </c>
      <c r="AR23" s="7">
        <v>16</v>
      </c>
      <c r="AS23" s="7" t="s">
        <v>51</v>
      </c>
      <c r="AT23" s="7" t="s">
        <v>66</v>
      </c>
      <c r="AU23" s="7">
        <v>1016</v>
      </c>
      <c r="AV23" s="30">
        <f t="shared" si="2"/>
        <v>17</v>
      </c>
      <c r="AW23" s="30">
        <f t="shared" si="7"/>
        <v>7</v>
      </c>
      <c r="AX23" s="30">
        <f t="shared" si="3"/>
        <v>3</v>
      </c>
      <c r="AY23" s="31">
        <f t="shared" si="4"/>
        <v>4</v>
      </c>
      <c r="AZ23" s="31">
        <f t="shared" si="6"/>
        <v>31</v>
      </c>
      <c r="BA23" s="32">
        <f>Table136[[#This Row],[Days]]-Table136[[#This Row],[Absent]]</f>
        <v>24</v>
      </c>
      <c r="BB23" s="33">
        <v>6000</v>
      </c>
      <c r="BC23" s="36">
        <f>Table136[[#This Row],[Salary]]/Table136[[#This Row],[Days]]</f>
        <v>193.54838709677421</v>
      </c>
      <c r="BD23" s="34">
        <f>Table136[[#This Row],[Per Day Salary]]*Table136[[#This Row],[Absent]]</f>
        <v>1354.8387096774195</v>
      </c>
      <c r="BE23" s="33">
        <f>Table136[[#This Row],[Salary]]-Table136[[#This Row],[Deduction ]]</f>
        <v>4645.1612903225805</v>
      </c>
    </row>
    <row r="24" spans="7:60" x14ac:dyDescent="0.35">
      <c r="G24" s="7">
        <v>17</v>
      </c>
      <c r="H24" s="27" t="s">
        <v>52</v>
      </c>
      <c r="I24" s="7">
        <v>1017</v>
      </c>
      <c r="J24" s="15">
        <f t="shared" si="5"/>
        <v>4</v>
      </c>
      <c r="K24" s="7" t="s">
        <v>36</v>
      </c>
      <c r="L24" s="7" t="s">
        <v>36</v>
      </c>
      <c r="M24" s="7" t="s">
        <v>36</v>
      </c>
      <c r="N24" s="7" t="s">
        <v>58</v>
      </c>
      <c r="O24" s="7" t="s">
        <v>36</v>
      </c>
      <c r="P24" s="7" t="s">
        <v>36</v>
      </c>
      <c r="Q24" s="7" t="s">
        <v>56</v>
      </c>
      <c r="R24" s="7" t="s">
        <v>56</v>
      </c>
      <c r="S24" s="7" t="s">
        <v>56</v>
      </c>
      <c r="T24" s="7" t="s">
        <v>57</v>
      </c>
      <c r="U24" s="7" t="s">
        <v>58</v>
      </c>
      <c r="V24" s="7" t="s">
        <v>36</v>
      </c>
      <c r="W24" s="7" t="s">
        <v>36</v>
      </c>
      <c r="X24" s="7" t="s">
        <v>56</v>
      </c>
      <c r="Y24" s="7" t="s">
        <v>56</v>
      </c>
      <c r="Z24" s="7" t="s">
        <v>57</v>
      </c>
      <c r="AA24" s="7" t="s">
        <v>36</v>
      </c>
      <c r="AB24" s="7" t="s">
        <v>58</v>
      </c>
      <c r="AC24" s="7" t="s">
        <v>36</v>
      </c>
      <c r="AD24" s="7" t="s">
        <v>36</v>
      </c>
      <c r="AE24" s="7" t="s">
        <v>36</v>
      </c>
      <c r="AF24" s="7" t="s">
        <v>36</v>
      </c>
      <c r="AG24" s="7" t="s">
        <v>36</v>
      </c>
      <c r="AH24" s="7" t="s">
        <v>36</v>
      </c>
      <c r="AI24" s="7" t="s">
        <v>58</v>
      </c>
      <c r="AJ24" s="7" t="s">
        <v>36</v>
      </c>
      <c r="AK24" s="7" t="s">
        <v>36</v>
      </c>
      <c r="AL24" s="7" t="s">
        <v>36</v>
      </c>
      <c r="AM24" s="7" t="s">
        <v>56</v>
      </c>
      <c r="AN24" s="7" t="s">
        <v>56</v>
      </c>
      <c r="AO24" s="7" t="s">
        <v>57</v>
      </c>
      <c r="AR24" s="7">
        <v>17</v>
      </c>
      <c r="AS24" s="7" t="s">
        <v>52</v>
      </c>
      <c r="AT24" s="7" t="s">
        <v>66</v>
      </c>
      <c r="AU24" s="7">
        <v>1017</v>
      </c>
      <c r="AV24" s="30">
        <f t="shared" si="2"/>
        <v>17</v>
      </c>
      <c r="AW24" s="30">
        <f t="shared" si="7"/>
        <v>7</v>
      </c>
      <c r="AX24" s="30">
        <f t="shared" si="3"/>
        <v>3</v>
      </c>
      <c r="AY24" s="31">
        <f t="shared" si="4"/>
        <v>4</v>
      </c>
      <c r="AZ24" s="31">
        <f t="shared" si="6"/>
        <v>31</v>
      </c>
      <c r="BA24" s="1">
        <f>Table136[[#This Row],[Days]]-Table136[[#This Row],[Absent]]</f>
        <v>24</v>
      </c>
      <c r="BB24" s="33">
        <v>6100</v>
      </c>
      <c r="BC24" s="36">
        <f>Table136[[#This Row],[Salary]]/Table136[[#This Row],[Days]]</f>
        <v>196.7741935483871</v>
      </c>
      <c r="BD24" s="34">
        <f>Table136[[#This Row],[Per Day Salary]]*Table136[[#This Row],[Absent]]</f>
        <v>1377.4193548387098</v>
      </c>
      <c r="BE24" s="33">
        <f>Table136[[#This Row],[Salary]]-Table136[[#This Row],[Deduction ]]</f>
        <v>4722.5806451612898</v>
      </c>
    </row>
    <row r="25" spans="7:60" x14ac:dyDescent="0.35">
      <c r="G25" s="7">
        <v>18</v>
      </c>
      <c r="H25" s="27" t="s">
        <v>53</v>
      </c>
      <c r="I25" s="7">
        <v>1018</v>
      </c>
      <c r="J25" s="15">
        <f t="shared" si="5"/>
        <v>4</v>
      </c>
      <c r="K25" s="7" t="s">
        <v>36</v>
      </c>
      <c r="L25" s="7" t="s">
        <v>36</v>
      </c>
      <c r="M25" s="7" t="s">
        <v>36</v>
      </c>
      <c r="N25" s="7" t="s">
        <v>58</v>
      </c>
      <c r="O25" s="7" t="s">
        <v>36</v>
      </c>
      <c r="P25" s="7" t="s">
        <v>36</v>
      </c>
      <c r="Q25" s="7" t="s">
        <v>56</v>
      </c>
      <c r="R25" s="7" t="s">
        <v>56</v>
      </c>
      <c r="S25" s="7" t="s">
        <v>56</v>
      </c>
      <c r="T25" s="7" t="s">
        <v>57</v>
      </c>
      <c r="U25" s="7" t="s">
        <v>58</v>
      </c>
      <c r="V25" s="7" t="s">
        <v>36</v>
      </c>
      <c r="W25" s="7" t="s">
        <v>36</v>
      </c>
      <c r="X25" s="7" t="s">
        <v>56</v>
      </c>
      <c r="Y25" s="7" t="s">
        <v>56</v>
      </c>
      <c r="Z25" s="7" t="s">
        <v>57</v>
      </c>
      <c r="AA25" s="7" t="s">
        <v>36</v>
      </c>
      <c r="AB25" s="7" t="s">
        <v>58</v>
      </c>
      <c r="AC25" s="7" t="s">
        <v>36</v>
      </c>
      <c r="AD25" s="7" t="s">
        <v>36</v>
      </c>
      <c r="AE25" s="7" t="s">
        <v>36</v>
      </c>
      <c r="AF25" s="7" t="s">
        <v>36</v>
      </c>
      <c r="AG25" s="7" t="s">
        <v>36</v>
      </c>
      <c r="AH25" s="7" t="s">
        <v>36</v>
      </c>
      <c r="AI25" s="7" t="s">
        <v>58</v>
      </c>
      <c r="AJ25" s="7" t="s">
        <v>36</v>
      </c>
      <c r="AK25" s="7" t="s">
        <v>36</v>
      </c>
      <c r="AL25" s="7" t="s">
        <v>36</v>
      </c>
      <c r="AM25" s="7" t="s">
        <v>56</v>
      </c>
      <c r="AN25" s="7" t="s">
        <v>56</v>
      </c>
      <c r="AO25" s="7" t="s">
        <v>57</v>
      </c>
      <c r="AR25" s="7">
        <v>18</v>
      </c>
      <c r="AS25" s="7" t="s">
        <v>53</v>
      </c>
      <c r="AT25" s="7" t="s">
        <v>66</v>
      </c>
      <c r="AU25" s="7">
        <v>1018</v>
      </c>
      <c r="AV25" s="30">
        <f t="shared" si="2"/>
        <v>17</v>
      </c>
      <c r="AW25" s="30">
        <f t="shared" si="7"/>
        <v>7</v>
      </c>
      <c r="AX25" s="30">
        <f t="shared" si="3"/>
        <v>3</v>
      </c>
      <c r="AY25" s="31">
        <f t="shared" si="4"/>
        <v>4</v>
      </c>
      <c r="AZ25" s="31">
        <f t="shared" si="6"/>
        <v>31</v>
      </c>
      <c r="BA25" s="32">
        <f>Table136[[#This Row],[Days]]-Table136[[#This Row],[Absent]]</f>
        <v>24</v>
      </c>
      <c r="BB25" s="33">
        <v>6200</v>
      </c>
      <c r="BC25" s="36">
        <f>Table136[[#This Row],[Salary]]/Table136[[#This Row],[Days]]</f>
        <v>200</v>
      </c>
      <c r="BD25" s="34">
        <f>Table136[[#This Row],[Per Day Salary]]*Table136[[#This Row],[Absent]]</f>
        <v>1400</v>
      </c>
      <c r="BE25" s="33">
        <f>Table136[[#This Row],[Salary]]-Table136[[#This Row],[Deduction ]]</f>
        <v>4800</v>
      </c>
    </row>
    <row r="26" spans="7:60" x14ac:dyDescent="0.35">
      <c r="G26" s="7">
        <v>19</v>
      </c>
      <c r="H26" s="27" t="s">
        <v>54</v>
      </c>
      <c r="I26" s="7">
        <v>1019</v>
      </c>
      <c r="J26" s="15">
        <f t="shared" si="5"/>
        <v>4</v>
      </c>
      <c r="K26" s="7" t="s">
        <v>36</v>
      </c>
      <c r="L26" s="7" t="s">
        <v>36</v>
      </c>
      <c r="M26" s="7" t="s">
        <v>36</v>
      </c>
      <c r="N26" s="7" t="s">
        <v>58</v>
      </c>
      <c r="O26" s="7" t="s">
        <v>36</v>
      </c>
      <c r="P26" s="7" t="s">
        <v>36</v>
      </c>
      <c r="Q26" s="7" t="s">
        <v>56</v>
      </c>
      <c r="R26" s="7" t="s">
        <v>56</v>
      </c>
      <c r="S26" s="7" t="s">
        <v>56</v>
      </c>
      <c r="T26" s="7" t="s">
        <v>57</v>
      </c>
      <c r="U26" s="7" t="s">
        <v>58</v>
      </c>
      <c r="V26" s="7" t="s">
        <v>36</v>
      </c>
      <c r="W26" s="7" t="s">
        <v>36</v>
      </c>
      <c r="X26" s="7" t="s">
        <v>56</v>
      </c>
      <c r="Y26" s="7" t="s">
        <v>56</v>
      </c>
      <c r="Z26" s="7" t="s">
        <v>57</v>
      </c>
      <c r="AA26" s="7" t="s">
        <v>36</v>
      </c>
      <c r="AB26" s="7" t="s">
        <v>58</v>
      </c>
      <c r="AC26" s="7" t="s">
        <v>36</v>
      </c>
      <c r="AD26" s="7" t="s">
        <v>36</v>
      </c>
      <c r="AE26" s="7" t="s">
        <v>36</v>
      </c>
      <c r="AF26" s="7" t="s">
        <v>36</v>
      </c>
      <c r="AG26" s="7" t="s">
        <v>36</v>
      </c>
      <c r="AH26" s="7" t="s">
        <v>36</v>
      </c>
      <c r="AI26" s="7" t="s">
        <v>58</v>
      </c>
      <c r="AJ26" s="7" t="s">
        <v>36</v>
      </c>
      <c r="AK26" s="7" t="s">
        <v>36</v>
      </c>
      <c r="AL26" s="7" t="s">
        <v>36</v>
      </c>
      <c r="AM26" s="7" t="s">
        <v>56</v>
      </c>
      <c r="AN26" s="7" t="s">
        <v>56</v>
      </c>
      <c r="AO26" s="7" t="s">
        <v>57</v>
      </c>
      <c r="AR26" s="7">
        <v>19</v>
      </c>
      <c r="AS26" s="7" t="s">
        <v>54</v>
      </c>
      <c r="AT26" s="7" t="s">
        <v>66</v>
      </c>
      <c r="AU26" s="7">
        <v>1019</v>
      </c>
      <c r="AV26" s="30">
        <f t="shared" si="2"/>
        <v>17</v>
      </c>
      <c r="AW26" s="30">
        <f t="shared" si="7"/>
        <v>7</v>
      </c>
      <c r="AX26" s="30">
        <f t="shared" si="3"/>
        <v>3</v>
      </c>
      <c r="AY26" s="31">
        <f t="shared" si="4"/>
        <v>4</v>
      </c>
      <c r="AZ26" s="31">
        <f t="shared" si="6"/>
        <v>31</v>
      </c>
      <c r="BA26" s="1">
        <f>Table136[[#This Row],[Days]]-Table136[[#This Row],[Absent]]</f>
        <v>24</v>
      </c>
      <c r="BB26" s="33">
        <v>6300</v>
      </c>
      <c r="BC26" s="36">
        <f>Table136[[#This Row],[Salary]]/Table136[[#This Row],[Days]]</f>
        <v>203.2258064516129</v>
      </c>
      <c r="BD26" s="34">
        <f>Table136[[#This Row],[Per Day Salary]]*Table136[[#This Row],[Absent]]</f>
        <v>1422.5806451612902</v>
      </c>
      <c r="BE26" s="33">
        <f>Table136[[#This Row],[Salary]]-Table136[[#This Row],[Deduction ]]</f>
        <v>4877.4193548387102</v>
      </c>
    </row>
    <row r="27" spans="7:60" x14ac:dyDescent="0.35">
      <c r="G27" s="7">
        <v>20</v>
      </c>
      <c r="H27" s="27" t="s">
        <v>55</v>
      </c>
      <c r="I27" s="7">
        <v>1020</v>
      </c>
      <c r="J27" s="15">
        <f t="shared" si="5"/>
        <v>4</v>
      </c>
      <c r="K27" s="7" t="s">
        <v>36</v>
      </c>
      <c r="L27" s="7" t="s">
        <v>36</v>
      </c>
      <c r="M27" s="7" t="s">
        <v>36</v>
      </c>
      <c r="N27" s="7" t="s">
        <v>58</v>
      </c>
      <c r="O27" s="7" t="s">
        <v>36</v>
      </c>
      <c r="P27" s="7" t="s">
        <v>36</v>
      </c>
      <c r="Q27" s="7" t="s">
        <v>56</v>
      </c>
      <c r="R27" s="7" t="s">
        <v>56</v>
      </c>
      <c r="S27" s="7" t="s">
        <v>56</v>
      </c>
      <c r="T27" s="7" t="s">
        <v>57</v>
      </c>
      <c r="U27" s="7" t="s">
        <v>58</v>
      </c>
      <c r="V27" s="7" t="s">
        <v>36</v>
      </c>
      <c r="W27" s="7" t="s">
        <v>36</v>
      </c>
      <c r="X27" s="7" t="s">
        <v>56</v>
      </c>
      <c r="Y27" s="7" t="s">
        <v>56</v>
      </c>
      <c r="Z27" s="7" t="s">
        <v>57</v>
      </c>
      <c r="AA27" s="7" t="s">
        <v>36</v>
      </c>
      <c r="AB27" s="7" t="s">
        <v>58</v>
      </c>
      <c r="AC27" s="7" t="s">
        <v>36</v>
      </c>
      <c r="AD27" s="7" t="s">
        <v>36</v>
      </c>
      <c r="AE27" s="7" t="s">
        <v>36</v>
      </c>
      <c r="AF27" s="7" t="s">
        <v>36</v>
      </c>
      <c r="AG27" s="7" t="s">
        <v>36</v>
      </c>
      <c r="AH27" s="7" t="s">
        <v>36</v>
      </c>
      <c r="AI27" s="7" t="s">
        <v>58</v>
      </c>
      <c r="AJ27" s="7" t="s">
        <v>36</v>
      </c>
      <c r="AK27" s="7" t="s">
        <v>36</v>
      </c>
      <c r="AL27" s="7" t="s">
        <v>36</v>
      </c>
      <c r="AM27" s="7" t="s">
        <v>56</v>
      </c>
      <c r="AN27" s="7" t="s">
        <v>56</v>
      </c>
      <c r="AO27" s="7" t="s">
        <v>57</v>
      </c>
      <c r="AR27" s="7">
        <v>20</v>
      </c>
      <c r="AS27" s="7" t="s">
        <v>55</v>
      </c>
      <c r="AT27" s="7" t="s">
        <v>66</v>
      </c>
      <c r="AU27" s="7">
        <v>1020</v>
      </c>
      <c r="AV27" s="30">
        <f t="shared" si="2"/>
        <v>17</v>
      </c>
      <c r="AW27" s="30">
        <f t="shared" si="7"/>
        <v>7</v>
      </c>
      <c r="AX27" s="30">
        <f t="shared" si="3"/>
        <v>3</v>
      </c>
      <c r="AY27" s="31">
        <f t="shared" si="4"/>
        <v>4</v>
      </c>
      <c r="AZ27" s="31">
        <f t="shared" si="6"/>
        <v>31</v>
      </c>
      <c r="BA27" s="32">
        <f>Table136[[#This Row],[Days]]-Table136[[#This Row],[Absent]]</f>
        <v>24</v>
      </c>
      <c r="BB27" s="33">
        <v>6400</v>
      </c>
      <c r="BC27" s="36">
        <f>Table136[[#This Row],[Salary]]/Table136[[#This Row],[Days]]</f>
        <v>206.45161290322579</v>
      </c>
      <c r="BD27" s="34">
        <f>Table136[[#This Row],[Per Day Salary]]*Table136[[#This Row],[Absent]]</f>
        <v>1445.1612903225805</v>
      </c>
      <c r="BE27" s="33">
        <f>Table136[[#This Row],[Salary]]-Table136[[#This Row],[Deduction ]]</f>
        <v>4954.8387096774195</v>
      </c>
    </row>
    <row r="28" spans="7:60" x14ac:dyDescent="0.35">
      <c r="L28" s="6"/>
      <c r="S28" s="6"/>
    </row>
  </sheetData>
  <mergeCells count="1">
    <mergeCell ref="G6:I6"/>
  </mergeCells>
  <phoneticPr fontId="2" type="noConversion"/>
  <conditionalFormatting sqref="F5">
    <cfRule type="containsText" dxfId="39" priority="4" operator="containsText" text="P">
      <formula>NOT(ISERROR(SEARCH("P",F5)))</formula>
    </cfRule>
  </conditionalFormatting>
  <conditionalFormatting sqref="K8:AO27">
    <cfRule type="containsText" dxfId="38" priority="1" operator="containsText" text="L">
      <formula>NOT(ISERROR(SEARCH("L",K8)))</formula>
    </cfRule>
    <cfRule type="containsText" dxfId="37" priority="2" operator="containsText" text="A">
      <formula>NOT(ISERROR(SEARCH("A",K8)))</formula>
    </cfRule>
    <cfRule type="containsText" dxfId="36" priority="3" operator="containsText" text="P">
      <formula>NOT(ISERROR(SEARCH("P",K8)))</formula>
    </cfRule>
    <cfRule type="containsText" dxfId="35" priority="5" operator="containsText" text="WO">
      <formula>NOT(ISERROR(SEARCH("WO",K8)))</formula>
    </cfRule>
  </conditionalFormatting>
  <dataValidations count="2">
    <dataValidation type="list" allowBlank="1" showInputMessage="1" showErrorMessage="1" sqref="O8:T27 AJ8:AO27 K8:M27 AC8:AH27 V8:AA27" xr:uid="{E1BEC713-6691-4AAE-9B70-CF96F5526625}">
      <formula1>"A,L,P"</formula1>
    </dataValidation>
    <dataValidation type="list" allowBlank="1" showInputMessage="1" showErrorMessage="1" sqref="U8:U27 N8:N27 AB8:AB27 AI8:AI27" xr:uid="{3B95A4F8-0657-4F25-A21B-F41FAED6E092}">
      <formula1>"A,L,P,WO"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BD81331-7AC8-4FA4-AE1F-3CC07B6D55F1}">
          <x14:formula1>
            <xm:f>Sheet1!$J$2:$J$13</xm:f>
          </x14:formula1>
          <xm:sqref>G5</xm:sqref>
        </x14:dataValidation>
        <x14:dataValidation type="list" allowBlank="1" showInputMessage="1" showErrorMessage="1" xr:uid="{D7DC1F68-6CAB-4CBD-AA14-AEC921ABAF6E}">
          <x14:formula1>
            <xm:f>Sheet1!$E$2:$E$13</xm:f>
          </x14:formula1>
          <xm:sqref>I5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6D82C-BD8A-474D-A4DA-3EB806C56541}">
  <sheetPr codeName="Sheet7"/>
  <dimension ref="F4:BN28"/>
  <sheetViews>
    <sheetView showGridLines="0" zoomScale="60" zoomScaleNormal="60" workbookViewId="0">
      <selection activeCell="H13" sqref="H13"/>
    </sheetView>
  </sheetViews>
  <sheetFormatPr defaultRowHeight="14.5" x14ac:dyDescent="0.35"/>
  <cols>
    <col min="7" max="7" width="12.54296875" bestFit="1" customWidth="1"/>
    <col min="8" max="8" width="11.7265625" bestFit="1" customWidth="1"/>
    <col min="9" max="9" width="12.26953125" customWidth="1"/>
    <col min="10" max="10" width="8.453125" bestFit="1" customWidth="1"/>
    <col min="11" max="11" width="3.453125" bestFit="1" customWidth="1"/>
    <col min="12" max="12" width="3.7265625" bestFit="1" customWidth="1"/>
    <col min="13" max="13" width="5.54296875" customWidth="1"/>
    <col min="14" max="14" width="3.7265625" bestFit="1" customWidth="1"/>
    <col min="15" max="15" width="4.453125" bestFit="1" customWidth="1"/>
    <col min="16" max="16" width="3.7265625" bestFit="1" customWidth="1"/>
    <col min="17" max="17" width="3.7265625" customWidth="1"/>
    <col min="18" max="18" width="3.453125" bestFit="1" customWidth="1"/>
    <col min="19" max="19" width="3.7265625" bestFit="1" customWidth="1"/>
    <col min="20" max="20" width="4.453125" bestFit="1" customWidth="1"/>
    <col min="21" max="21" width="3.7265625" bestFit="1" customWidth="1"/>
    <col min="22" max="22" width="4.453125" bestFit="1" customWidth="1"/>
    <col min="23" max="23" width="3.7265625" bestFit="1" customWidth="1"/>
    <col min="24" max="24" width="2.81640625" bestFit="1" customWidth="1"/>
    <col min="25" max="25" width="3.453125" bestFit="1" customWidth="1"/>
    <col min="26" max="26" width="3.7265625" bestFit="1" customWidth="1"/>
    <col min="27" max="27" width="4.453125" bestFit="1" customWidth="1"/>
    <col min="28" max="28" width="3.7265625" bestFit="1" customWidth="1"/>
    <col min="29" max="29" width="4.453125" bestFit="1" customWidth="1"/>
    <col min="30" max="30" width="3.7265625" bestFit="1" customWidth="1"/>
    <col min="31" max="31" width="4" customWidth="1"/>
    <col min="32" max="32" width="3.453125" bestFit="1" customWidth="1"/>
    <col min="33" max="33" width="3.7265625" bestFit="1" customWidth="1"/>
    <col min="34" max="34" width="4.453125" bestFit="1" customWidth="1"/>
    <col min="35" max="35" width="3.7265625" bestFit="1" customWidth="1"/>
    <col min="36" max="36" width="4.453125" bestFit="1" customWidth="1"/>
    <col min="37" max="37" width="3.7265625" bestFit="1" customWidth="1"/>
    <col min="38" max="38" width="2.81640625" bestFit="1" customWidth="1"/>
    <col min="39" max="39" width="3.453125" bestFit="1" customWidth="1"/>
    <col min="40" max="40" width="4.1796875" bestFit="1" customWidth="1"/>
    <col min="41" max="41" width="5.08984375" customWidth="1"/>
    <col min="45" max="46" width="10.453125" customWidth="1"/>
    <col min="47" max="47" width="13.1796875" customWidth="1"/>
    <col min="48" max="48" width="9.453125" customWidth="1"/>
    <col min="49" max="49" width="8.90625" customWidth="1"/>
    <col min="51" max="51" width="10.453125" customWidth="1"/>
    <col min="53" max="53" width="10.7265625" customWidth="1"/>
    <col min="54" max="54" width="10.7265625" bestFit="1" customWidth="1"/>
    <col min="55" max="55" width="14.36328125" customWidth="1"/>
    <col min="56" max="56" width="12" customWidth="1"/>
    <col min="57" max="57" width="12.54296875" customWidth="1"/>
  </cols>
  <sheetData>
    <row r="4" spans="6:66" x14ac:dyDescent="0.35">
      <c r="F4" s="21"/>
      <c r="G4" s="21"/>
      <c r="H4" s="21"/>
      <c r="I4" s="22">
        <f>G5</f>
        <v>45809</v>
      </c>
      <c r="J4" s="21"/>
      <c r="K4" s="21"/>
      <c r="L4" s="21"/>
    </row>
    <row r="5" spans="6:66" ht="15" thickBot="1" x14ac:dyDescent="0.4">
      <c r="F5" s="21" t="s">
        <v>23</v>
      </c>
      <c r="G5" s="26">
        <v>45809</v>
      </c>
      <c r="H5" s="24">
        <f>G5</f>
        <v>45809</v>
      </c>
      <c r="I5" s="24"/>
      <c r="J5" s="21"/>
      <c r="K5" s="21"/>
      <c r="L5" s="21" t="s">
        <v>25</v>
      </c>
      <c r="M5" s="23">
        <f>EOMONTH(G5,0)</f>
        <v>45838</v>
      </c>
      <c r="O5" s="3"/>
    </row>
    <row r="6" spans="6:66" ht="16.5" thickBot="1" x14ac:dyDescent="0.45">
      <c r="G6" s="50" t="s">
        <v>27</v>
      </c>
      <c r="H6" s="51"/>
      <c r="I6" s="52"/>
      <c r="J6" s="11" t="s">
        <v>26</v>
      </c>
      <c r="K6" s="12" t="str">
        <f>TEXT(K7,"ddd")</f>
        <v>Sun</v>
      </c>
      <c r="L6" s="12" t="str">
        <f t="shared" ref="L6:AN6" si="0">TEXT(L7,"ddd")</f>
        <v>Mon</v>
      </c>
      <c r="M6" s="12" t="str">
        <f t="shared" si="0"/>
        <v>Tue</v>
      </c>
      <c r="N6" s="12" t="str">
        <f t="shared" si="0"/>
        <v>Wed</v>
      </c>
      <c r="O6" s="12" t="str">
        <f t="shared" si="0"/>
        <v>Thu</v>
      </c>
      <c r="P6" s="12" t="str">
        <f t="shared" si="0"/>
        <v>Fri</v>
      </c>
      <c r="Q6" s="12" t="str">
        <f t="shared" si="0"/>
        <v>Sat</v>
      </c>
      <c r="R6" s="12" t="str">
        <f t="shared" si="0"/>
        <v>Sun</v>
      </c>
      <c r="S6" s="12" t="str">
        <f t="shared" si="0"/>
        <v>Mon</v>
      </c>
      <c r="T6" s="12" t="str">
        <f t="shared" si="0"/>
        <v>Tue</v>
      </c>
      <c r="U6" s="12" t="str">
        <f t="shared" si="0"/>
        <v>Wed</v>
      </c>
      <c r="V6" s="12" t="str">
        <f t="shared" si="0"/>
        <v>Thu</v>
      </c>
      <c r="W6" s="12" t="str">
        <f t="shared" si="0"/>
        <v>Fri</v>
      </c>
      <c r="X6" s="12" t="str">
        <f t="shared" si="0"/>
        <v>Sat</v>
      </c>
      <c r="Y6" s="12" t="str">
        <f t="shared" si="0"/>
        <v>Sun</v>
      </c>
      <c r="Z6" s="12" t="str">
        <f t="shared" si="0"/>
        <v>Mon</v>
      </c>
      <c r="AA6" s="12" t="str">
        <f t="shared" si="0"/>
        <v>Tue</v>
      </c>
      <c r="AB6" s="12" t="str">
        <f t="shared" si="0"/>
        <v>Wed</v>
      </c>
      <c r="AC6" s="12" t="str">
        <f t="shared" si="0"/>
        <v>Thu</v>
      </c>
      <c r="AD6" s="12" t="str">
        <f t="shared" si="0"/>
        <v>Fri</v>
      </c>
      <c r="AE6" s="12" t="str">
        <f t="shared" si="0"/>
        <v>Sat</v>
      </c>
      <c r="AF6" s="12" t="str">
        <f t="shared" si="0"/>
        <v>Sun</v>
      </c>
      <c r="AG6" s="12" t="str">
        <f t="shared" si="0"/>
        <v>Mon</v>
      </c>
      <c r="AH6" s="12" t="str">
        <f t="shared" si="0"/>
        <v>Tue</v>
      </c>
      <c r="AI6" s="12" t="str">
        <f t="shared" si="0"/>
        <v>Wed</v>
      </c>
      <c r="AJ6" s="12" t="str">
        <f t="shared" si="0"/>
        <v>Thu</v>
      </c>
      <c r="AK6" s="12" t="str">
        <f t="shared" si="0"/>
        <v>Fri</v>
      </c>
      <c r="AL6" s="12" t="str">
        <f t="shared" si="0"/>
        <v>Sat</v>
      </c>
      <c r="AM6" s="13" t="str">
        <f t="shared" si="0"/>
        <v>Sun</v>
      </c>
      <c r="AN6" s="13" t="str">
        <f t="shared" si="0"/>
        <v>Mon</v>
      </c>
      <c r="AO6" s="14" t="str">
        <f>TEXT(AO7,"ddd")</f>
        <v/>
      </c>
    </row>
    <row r="7" spans="6:66" ht="14.25" customHeight="1" x14ac:dyDescent="0.35">
      <c r="G7" s="25" t="s">
        <v>0</v>
      </c>
      <c r="H7" s="25" t="s">
        <v>1</v>
      </c>
      <c r="I7" s="25" t="s">
        <v>2</v>
      </c>
      <c r="J7" s="8" t="s">
        <v>24</v>
      </c>
      <c r="K7" s="9">
        <f>G5</f>
        <v>45809</v>
      </c>
      <c r="L7" s="9">
        <f>IF(K7&lt;$M$5,1+K7,"")</f>
        <v>45810</v>
      </c>
      <c r="M7" s="9">
        <f t="shared" ref="M7:AL7" si="1">IF(L7&lt;$M$5,1+L7,"")</f>
        <v>45811</v>
      </c>
      <c r="N7" s="9">
        <f t="shared" si="1"/>
        <v>45812</v>
      </c>
      <c r="O7" s="9">
        <f t="shared" si="1"/>
        <v>45813</v>
      </c>
      <c r="P7" s="9">
        <f t="shared" si="1"/>
        <v>45814</v>
      </c>
      <c r="Q7" s="9">
        <f t="shared" si="1"/>
        <v>45815</v>
      </c>
      <c r="R7" s="9">
        <f t="shared" si="1"/>
        <v>45816</v>
      </c>
      <c r="S7" s="9">
        <f t="shared" si="1"/>
        <v>45817</v>
      </c>
      <c r="T7" s="9">
        <f t="shared" si="1"/>
        <v>45818</v>
      </c>
      <c r="U7" s="9">
        <f t="shared" si="1"/>
        <v>45819</v>
      </c>
      <c r="V7" s="9">
        <f t="shared" si="1"/>
        <v>45820</v>
      </c>
      <c r="W7" s="9">
        <f t="shared" si="1"/>
        <v>45821</v>
      </c>
      <c r="X7" s="9">
        <f t="shared" si="1"/>
        <v>45822</v>
      </c>
      <c r="Y7" s="9">
        <f t="shared" si="1"/>
        <v>45823</v>
      </c>
      <c r="Z7" s="9">
        <f t="shared" si="1"/>
        <v>45824</v>
      </c>
      <c r="AA7" s="9">
        <f>IF(Z7&lt;$M$5,1+Z7,"")</f>
        <v>45825</v>
      </c>
      <c r="AB7" s="9">
        <f t="shared" si="1"/>
        <v>45826</v>
      </c>
      <c r="AC7" s="9">
        <f t="shared" si="1"/>
        <v>45827</v>
      </c>
      <c r="AD7" s="9">
        <f t="shared" si="1"/>
        <v>45828</v>
      </c>
      <c r="AE7" s="9">
        <f t="shared" si="1"/>
        <v>45829</v>
      </c>
      <c r="AF7" s="9">
        <f t="shared" si="1"/>
        <v>45830</v>
      </c>
      <c r="AG7" s="9">
        <f t="shared" si="1"/>
        <v>45831</v>
      </c>
      <c r="AH7" s="9">
        <f t="shared" si="1"/>
        <v>45832</v>
      </c>
      <c r="AI7" s="9">
        <f t="shared" si="1"/>
        <v>45833</v>
      </c>
      <c r="AJ7" s="9">
        <f t="shared" si="1"/>
        <v>45834</v>
      </c>
      <c r="AK7" s="9">
        <f t="shared" si="1"/>
        <v>45835</v>
      </c>
      <c r="AL7" s="9">
        <f t="shared" si="1"/>
        <v>45836</v>
      </c>
      <c r="AM7" s="9">
        <f>IF(AL7&lt;$M$5,1+AL7,"")</f>
        <v>45837</v>
      </c>
      <c r="AN7" s="9">
        <f>IF(AM7&lt;$M$5,1+AM7,"")</f>
        <v>45838</v>
      </c>
      <c r="AO7" s="10" t="str">
        <f>IF(AN7&lt;$M$5,1+AN7,"")</f>
        <v/>
      </c>
      <c r="AP7" s="5"/>
      <c r="AQ7" s="5"/>
      <c r="AR7" s="18" t="s">
        <v>0</v>
      </c>
      <c r="AS7" s="18" t="s">
        <v>1</v>
      </c>
      <c r="AT7" s="18" t="s">
        <v>72</v>
      </c>
      <c r="AU7" s="18" t="s">
        <v>2</v>
      </c>
      <c r="AV7" s="17" t="s">
        <v>28</v>
      </c>
      <c r="AW7" s="17" t="s">
        <v>29</v>
      </c>
      <c r="AX7" s="17" t="s">
        <v>30</v>
      </c>
      <c r="AY7" s="17" t="s">
        <v>24</v>
      </c>
      <c r="AZ7" s="17" t="s">
        <v>26</v>
      </c>
      <c r="BA7" s="17" t="s">
        <v>31</v>
      </c>
      <c r="BB7" s="17" t="s">
        <v>32</v>
      </c>
      <c r="BC7" s="17" t="s">
        <v>33</v>
      </c>
      <c r="BD7" s="17" t="s">
        <v>34</v>
      </c>
      <c r="BE7" s="17" t="s">
        <v>35</v>
      </c>
      <c r="BF7" s="16"/>
      <c r="BG7" s="5"/>
      <c r="BH7" s="5"/>
      <c r="BI7" s="5"/>
      <c r="BJ7" s="5"/>
      <c r="BK7" s="5"/>
      <c r="BL7" s="5"/>
      <c r="BM7" s="5"/>
      <c r="BN7" s="5"/>
    </row>
    <row r="8" spans="6:66" ht="14.25" customHeight="1" x14ac:dyDescent="0.35">
      <c r="G8" s="7">
        <v>1</v>
      </c>
      <c r="H8" s="27" t="s">
        <v>37</v>
      </c>
      <c r="I8" s="7">
        <v>1001</v>
      </c>
      <c r="J8" s="15">
        <f>COUNTIF(K$6:AO$6,"Sun")</f>
        <v>5</v>
      </c>
      <c r="K8" s="7" t="s">
        <v>58</v>
      </c>
      <c r="L8" s="7" t="s">
        <v>36</v>
      </c>
      <c r="M8" s="7" t="s">
        <v>36</v>
      </c>
      <c r="N8" s="7" t="s">
        <v>36</v>
      </c>
      <c r="O8" s="7" t="s">
        <v>36</v>
      </c>
      <c r="P8" s="7" t="s">
        <v>36</v>
      </c>
      <c r="Q8" s="7" t="s">
        <v>56</v>
      </c>
      <c r="R8" s="7" t="s">
        <v>58</v>
      </c>
      <c r="S8" s="7" t="s">
        <v>56</v>
      </c>
      <c r="T8" s="7" t="s">
        <v>57</v>
      </c>
      <c r="U8" s="7" t="s">
        <v>36</v>
      </c>
      <c r="V8" s="7" t="s">
        <v>36</v>
      </c>
      <c r="W8" s="7" t="s">
        <v>36</v>
      </c>
      <c r="X8" s="7" t="s">
        <v>36</v>
      </c>
      <c r="Y8" s="7" t="s">
        <v>58</v>
      </c>
      <c r="Z8" s="7" t="s">
        <v>57</v>
      </c>
      <c r="AA8" s="7" t="s">
        <v>36</v>
      </c>
      <c r="AB8" s="7" t="s">
        <v>36</v>
      </c>
      <c r="AC8" s="7" t="s">
        <v>36</v>
      </c>
      <c r="AD8" s="7" t="s">
        <v>36</v>
      </c>
      <c r="AE8" s="7" t="s">
        <v>36</v>
      </c>
      <c r="AF8" s="7" t="s">
        <v>58</v>
      </c>
      <c r="AG8" s="7" t="s">
        <v>36</v>
      </c>
      <c r="AH8" s="7" t="s">
        <v>36</v>
      </c>
      <c r="AI8" s="7" t="s">
        <v>36</v>
      </c>
      <c r="AJ8" s="7" t="s">
        <v>36</v>
      </c>
      <c r="AK8" s="7" t="s">
        <v>56</v>
      </c>
      <c r="AL8" s="7" t="s">
        <v>36</v>
      </c>
      <c r="AM8" s="7" t="s">
        <v>58</v>
      </c>
      <c r="AN8" s="7" t="s">
        <v>56</v>
      </c>
      <c r="AO8" s="7"/>
      <c r="AP8" s="5"/>
      <c r="AQ8" s="5"/>
      <c r="AR8" s="7">
        <v>1</v>
      </c>
      <c r="AS8" s="29" t="s">
        <v>37</v>
      </c>
      <c r="AT8" s="7" t="s">
        <v>67</v>
      </c>
      <c r="AU8" s="7">
        <v>1001</v>
      </c>
      <c r="AV8" s="30">
        <f t="shared" ref="AV8:AV27" si="2">COUNTIF($K8:$AO8,"P")</f>
        <v>19</v>
      </c>
      <c r="AW8" s="30">
        <f>COUNTIF($K8:$AO8,"A")</f>
        <v>4</v>
      </c>
      <c r="AX8" s="30">
        <f t="shared" ref="AX8:AX27" si="3">COUNTIF($K8:$AO8,"L")</f>
        <v>2</v>
      </c>
      <c r="AY8" s="31">
        <f t="shared" ref="AY8:AY27" si="4">COUNTIF($K8:$AO8,"WO")</f>
        <v>5</v>
      </c>
      <c r="AZ8" s="31">
        <f>($M$5-$H$5)+1</f>
        <v>30</v>
      </c>
      <c r="BA8" s="32">
        <f>Table137[[#This Row],[Days]]-Table137[[#This Row],[Absent]]</f>
        <v>26</v>
      </c>
      <c r="BB8" s="33">
        <v>4500</v>
      </c>
      <c r="BC8" s="36">
        <f>Table137[[#This Row],[Salary]]/Table137[[#This Row],[Days]]</f>
        <v>150</v>
      </c>
      <c r="BD8" s="34">
        <f>Table137[[#This Row],[Per Day Salary]]*Table137[[#This Row],[Absent]]</f>
        <v>600</v>
      </c>
      <c r="BE8" s="33">
        <f>Table137[[#This Row],[Salary]]-Table137[[#This Row],[Deduction ]]</f>
        <v>3900</v>
      </c>
      <c r="BF8" s="5"/>
      <c r="BG8" s="5"/>
      <c r="BH8" s="5"/>
      <c r="BI8" s="5"/>
      <c r="BJ8" s="5"/>
      <c r="BK8" s="5"/>
      <c r="BL8" s="5"/>
    </row>
    <row r="9" spans="6:66" x14ac:dyDescent="0.35">
      <c r="G9" s="7">
        <v>2</v>
      </c>
      <c r="H9" s="27" t="s">
        <v>38</v>
      </c>
      <c r="I9" s="7">
        <v>1002</v>
      </c>
      <c r="J9" s="15">
        <f t="shared" ref="J9:J27" si="5">COUNTIF(K$6:AO$6,"Sun")</f>
        <v>5</v>
      </c>
      <c r="K9" s="7" t="s">
        <v>58</v>
      </c>
      <c r="L9" s="7" t="s">
        <v>36</v>
      </c>
      <c r="M9" s="7" t="s">
        <v>36</v>
      </c>
      <c r="N9" s="7" t="s">
        <v>36</v>
      </c>
      <c r="O9" s="7" t="s">
        <v>36</v>
      </c>
      <c r="P9" s="7" t="s">
        <v>36</v>
      </c>
      <c r="Q9" s="7" t="s">
        <v>56</v>
      </c>
      <c r="R9" s="7" t="s">
        <v>58</v>
      </c>
      <c r="S9" s="7" t="s">
        <v>56</v>
      </c>
      <c r="T9" s="7" t="s">
        <v>57</v>
      </c>
      <c r="U9" s="7" t="s">
        <v>36</v>
      </c>
      <c r="V9" s="7" t="s">
        <v>36</v>
      </c>
      <c r="W9" s="7" t="s">
        <v>36</v>
      </c>
      <c r="X9" s="7" t="s">
        <v>56</v>
      </c>
      <c r="Y9" s="7" t="s">
        <v>58</v>
      </c>
      <c r="Z9" s="7" t="s">
        <v>57</v>
      </c>
      <c r="AA9" s="7" t="s">
        <v>36</v>
      </c>
      <c r="AB9" s="7" t="s">
        <v>36</v>
      </c>
      <c r="AC9" s="7" t="s">
        <v>36</v>
      </c>
      <c r="AD9" s="7" t="s">
        <v>36</v>
      </c>
      <c r="AE9" s="7" t="s">
        <v>36</v>
      </c>
      <c r="AF9" s="7" t="s">
        <v>58</v>
      </c>
      <c r="AG9" s="7" t="s">
        <v>36</v>
      </c>
      <c r="AH9" s="7" t="s">
        <v>36</v>
      </c>
      <c r="AI9" s="7" t="s">
        <v>36</v>
      </c>
      <c r="AJ9" s="7" t="s">
        <v>36</v>
      </c>
      <c r="AK9" s="7" t="s">
        <v>56</v>
      </c>
      <c r="AL9" s="7" t="s">
        <v>36</v>
      </c>
      <c r="AM9" s="7" t="s">
        <v>58</v>
      </c>
      <c r="AN9" s="7" t="s">
        <v>56</v>
      </c>
      <c r="AO9" s="7"/>
      <c r="AP9" s="5"/>
      <c r="AQ9" s="5"/>
      <c r="AR9" s="7">
        <v>2</v>
      </c>
      <c r="AS9" s="7" t="s">
        <v>38</v>
      </c>
      <c r="AT9" s="7" t="s">
        <v>67</v>
      </c>
      <c r="AU9" s="7">
        <v>1002</v>
      </c>
      <c r="AV9" s="30">
        <f t="shared" si="2"/>
        <v>18</v>
      </c>
      <c r="AW9" s="30">
        <f>COUNTIF($K9:$AO9,"A")</f>
        <v>5</v>
      </c>
      <c r="AX9" s="35">
        <f t="shared" si="3"/>
        <v>2</v>
      </c>
      <c r="AY9" s="31">
        <f t="shared" si="4"/>
        <v>5</v>
      </c>
      <c r="AZ9" s="31">
        <f t="shared" ref="AZ9:AZ27" si="6">($M$5-$H$5)+1</f>
        <v>30</v>
      </c>
      <c r="BA9" s="32">
        <f>Table137[[#This Row],[Days]]-Table137[[#This Row],[Absent]]</f>
        <v>25</v>
      </c>
      <c r="BB9" s="33">
        <v>4600</v>
      </c>
      <c r="BC9" s="36">
        <f>Table137[[#This Row],[Salary]]/Table137[[#This Row],[Days]]</f>
        <v>153.33333333333334</v>
      </c>
      <c r="BD9" s="34">
        <f>Table137[[#This Row],[Per Day Salary]]*Table137[[#This Row],[Absent]]</f>
        <v>766.66666666666674</v>
      </c>
      <c r="BE9" s="33">
        <f>Table137[[#This Row],[Salary]]-Table137[[#This Row],[Deduction ]]</f>
        <v>3833.333333333333</v>
      </c>
      <c r="BF9" s="5"/>
      <c r="BG9" s="5"/>
      <c r="BH9" s="5"/>
      <c r="BI9" s="5"/>
      <c r="BJ9" s="5"/>
      <c r="BK9" s="5"/>
      <c r="BL9" s="5"/>
    </row>
    <row r="10" spans="6:66" x14ac:dyDescent="0.35">
      <c r="G10" s="7">
        <v>3</v>
      </c>
      <c r="H10" s="27" t="s">
        <v>39</v>
      </c>
      <c r="I10" s="7">
        <v>1003</v>
      </c>
      <c r="J10" s="15">
        <f t="shared" si="5"/>
        <v>5</v>
      </c>
      <c r="K10" s="7" t="s">
        <v>58</v>
      </c>
      <c r="L10" s="7" t="s">
        <v>36</v>
      </c>
      <c r="M10" s="7" t="s">
        <v>36</v>
      </c>
      <c r="N10" s="7" t="s">
        <v>36</v>
      </c>
      <c r="O10" s="7" t="s">
        <v>36</v>
      </c>
      <c r="P10" s="7" t="s">
        <v>36</v>
      </c>
      <c r="Q10" s="7" t="s">
        <v>56</v>
      </c>
      <c r="R10" s="7" t="s">
        <v>58</v>
      </c>
      <c r="S10" s="7" t="s">
        <v>56</v>
      </c>
      <c r="T10" s="7" t="s">
        <v>57</v>
      </c>
      <c r="U10" s="7" t="s">
        <v>36</v>
      </c>
      <c r="V10" s="7" t="s">
        <v>36</v>
      </c>
      <c r="W10" s="7" t="s">
        <v>36</v>
      </c>
      <c r="X10" s="7" t="s">
        <v>56</v>
      </c>
      <c r="Y10" s="7" t="s">
        <v>58</v>
      </c>
      <c r="Z10" s="7" t="s">
        <v>57</v>
      </c>
      <c r="AA10" s="7" t="s">
        <v>36</v>
      </c>
      <c r="AB10" s="7" t="s">
        <v>36</v>
      </c>
      <c r="AC10" s="7" t="s">
        <v>36</v>
      </c>
      <c r="AD10" s="7" t="s">
        <v>36</v>
      </c>
      <c r="AE10" s="7" t="s">
        <v>36</v>
      </c>
      <c r="AF10" s="7" t="s">
        <v>58</v>
      </c>
      <c r="AG10" s="7" t="s">
        <v>36</v>
      </c>
      <c r="AH10" s="7" t="s">
        <v>36</v>
      </c>
      <c r="AI10" s="7" t="s">
        <v>36</v>
      </c>
      <c r="AJ10" s="7" t="s">
        <v>36</v>
      </c>
      <c r="AK10" s="7" t="s">
        <v>56</v>
      </c>
      <c r="AL10" s="7" t="s">
        <v>36</v>
      </c>
      <c r="AM10" s="7" t="s">
        <v>58</v>
      </c>
      <c r="AN10" s="7" t="s">
        <v>56</v>
      </c>
      <c r="AO10" s="7"/>
      <c r="AP10" s="5"/>
      <c r="AQ10" s="5"/>
      <c r="AR10" s="7">
        <v>3</v>
      </c>
      <c r="AS10" s="7" t="s">
        <v>39</v>
      </c>
      <c r="AT10" s="7" t="s">
        <v>67</v>
      </c>
      <c r="AU10" s="7">
        <v>1003</v>
      </c>
      <c r="AV10" s="30">
        <f t="shared" si="2"/>
        <v>18</v>
      </c>
      <c r="AW10" s="30">
        <f t="shared" ref="AW10:AW27" si="7">COUNTIF($K10:$AO10,"A")</f>
        <v>5</v>
      </c>
      <c r="AX10" s="30">
        <f t="shared" si="3"/>
        <v>2</v>
      </c>
      <c r="AY10" s="31">
        <f t="shared" si="4"/>
        <v>5</v>
      </c>
      <c r="AZ10" s="31">
        <f t="shared" si="6"/>
        <v>30</v>
      </c>
      <c r="BA10" s="32">
        <f>Table137[[#This Row],[Days]]-Table137[[#This Row],[Absent]]</f>
        <v>25</v>
      </c>
      <c r="BB10" s="33">
        <v>4700</v>
      </c>
      <c r="BC10" s="36">
        <f>Table137[[#This Row],[Salary]]/Table137[[#This Row],[Days]]</f>
        <v>156.66666666666666</v>
      </c>
      <c r="BD10" s="34">
        <f>Table137[[#This Row],[Per Day Salary]]*Table137[[#This Row],[Absent]]</f>
        <v>783.33333333333326</v>
      </c>
      <c r="BE10" s="33">
        <f>Table137[[#This Row],[Salary]]-Table137[[#This Row],[Deduction ]]</f>
        <v>3916.666666666667</v>
      </c>
      <c r="BF10" s="5"/>
      <c r="BG10" s="5"/>
      <c r="BH10" s="5"/>
      <c r="BI10" s="5"/>
      <c r="BJ10" s="5"/>
      <c r="BK10" s="5"/>
      <c r="BL10" s="5"/>
    </row>
    <row r="11" spans="6:66" x14ac:dyDescent="0.35">
      <c r="G11" s="7">
        <v>4</v>
      </c>
      <c r="H11" s="27" t="s">
        <v>59</v>
      </c>
      <c r="I11" s="7">
        <v>1004</v>
      </c>
      <c r="J11" s="15">
        <f t="shared" si="5"/>
        <v>5</v>
      </c>
      <c r="K11" s="7" t="s">
        <v>58</v>
      </c>
      <c r="L11" s="7" t="s">
        <v>36</v>
      </c>
      <c r="M11" s="7" t="s">
        <v>36</v>
      </c>
      <c r="N11" s="7" t="s">
        <v>36</v>
      </c>
      <c r="O11" s="7" t="s">
        <v>36</v>
      </c>
      <c r="P11" s="7" t="s">
        <v>36</v>
      </c>
      <c r="Q11" s="7" t="s">
        <v>56</v>
      </c>
      <c r="R11" s="7" t="s">
        <v>58</v>
      </c>
      <c r="S11" s="7" t="s">
        <v>56</v>
      </c>
      <c r="T11" s="7" t="s">
        <v>57</v>
      </c>
      <c r="U11" s="7" t="s">
        <v>36</v>
      </c>
      <c r="V11" s="7" t="s">
        <v>36</v>
      </c>
      <c r="W11" s="7" t="s">
        <v>36</v>
      </c>
      <c r="X11" s="7" t="s">
        <v>56</v>
      </c>
      <c r="Y11" s="7" t="s">
        <v>58</v>
      </c>
      <c r="Z11" s="7" t="s">
        <v>57</v>
      </c>
      <c r="AA11" s="7" t="s">
        <v>36</v>
      </c>
      <c r="AB11" s="7" t="s">
        <v>36</v>
      </c>
      <c r="AC11" s="7" t="s">
        <v>36</v>
      </c>
      <c r="AD11" s="7" t="s">
        <v>36</v>
      </c>
      <c r="AE11" s="7" t="s">
        <v>36</v>
      </c>
      <c r="AF11" s="7" t="s">
        <v>58</v>
      </c>
      <c r="AG11" s="7" t="s">
        <v>36</v>
      </c>
      <c r="AH11" s="7" t="s">
        <v>36</v>
      </c>
      <c r="AI11" s="7" t="s">
        <v>36</v>
      </c>
      <c r="AJ11" s="7" t="s">
        <v>36</v>
      </c>
      <c r="AK11" s="7" t="s">
        <v>56</v>
      </c>
      <c r="AL11" s="7" t="s">
        <v>36</v>
      </c>
      <c r="AM11" s="7" t="s">
        <v>58</v>
      </c>
      <c r="AN11" s="7" t="s">
        <v>56</v>
      </c>
      <c r="AO11" s="7"/>
      <c r="AP11" s="5"/>
      <c r="AQ11" s="5"/>
      <c r="AR11" s="7">
        <v>4</v>
      </c>
      <c r="AS11" s="7" t="s">
        <v>59</v>
      </c>
      <c r="AT11" s="7" t="s">
        <v>67</v>
      </c>
      <c r="AU11" s="7">
        <v>1004</v>
      </c>
      <c r="AV11" s="30">
        <f t="shared" si="2"/>
        <v>18</v>
      </c>
      <c r="AW11" s="30">
        <f t="shared" si="7"/>
        <v>5</v>
      </c>
      <c r="AX11" s="30">
        <f t="shared" si="3"/>
        <v>2</v>
      </c>
      <c r="AY11" s="31">
        <f t="shared" si="4"/>
        <v>5</v>
      </c>
      <c r="AZ11" s="31">
        <f t="shared" si="6"/>
        <v>30</v>
      </c>
      <c r="BA11" s="32">
        <f>Table137[[#This Row],[Days]]-Table137[[#This Row],[Absent]]</f>
        <v>25</v>
      </c>
      <c r="BB11" s="33">
        <v>4800</v>
      </c>
      <c r="BC11" s="36">
        <f>Table137[[#This Row],[Salary]]/Table137[[#This Row],[Days]]</f>
        <v>160</v>
      </c>
      <c r="BD11" s="34">
        <f>Table137[[#This Row],[Per Day Salary]]*Table137[[#This Row],[Absent]]</f>
        <v>800</v>
      </c>
      <c r="BE11" s="33">
        <f>Table137[[#This Row],[Salary]]-Table137[[#This Row],[Deduction ]]</f>
        <v>4000</v>
      </c>
      <c r="BF11" s="5"/>
      <c r="BG11" s="5"/>
      <c r="BH11" s="5"/>
      <c r="BI11" s="5"/>
      <c r="BJ11" s="5"/>
      <c r="BK11" s="5"/>
      <c r="BL11" s="5"/>
    </row>
    <row r="12" spans="6:66" x14ac:dyDescent="0.35">
      <c r="G12" s="7">
        <v>5</v>
      </c>
      <c r="H12" s="27" t="s">
        <v>40</v>
      </c>
      <c r="I12" s="7">
        <v>1005</v>
      </c>
      <c r="J12" s="15">
        <f t="shared" si="5"/>
        <v>5</v>
      </c>
      <c r="K12" s="7" t="s">
        <v>58</v>
      </c>
      <c r="L12" s="7" t="s">
        <v>36</v>
      </c>
      <c r="M12" s="7" t="s">
        <v>36</v>
      </c>
      <c r="N12" s="7" t="s">
        <v>36</v>
      </c>
      <c r="O12" s="7" t="s">
        <v>36</v>
      </c>
      <c r="P12" s="7" t="s">
        <v>36</v>
      </c>
      <c r="Q12" s="7" t="s">
        <v>56</v>
      </c>
      <c r="R12" s="7" t="s">
        <v>58</v>
      </c>
      <c r="S12" s="7" t="s">
        <v>56</v>
      </c>
      <c r="T12" s="7" t="s">
        <v>57</v>
      </c>
      <c r="U12" s="7" t="s">
        <v>36</v>
      </c>
      <c r="V12" s="7" t="s">
        <v>36</v>
      </c>
      <c r="W12" s="7" t="s">
        <v>36</v>
      </c>
      <c r="X12" s="7" t="s">
        <v>56</v>
      </c>
      <c r="Y12" s="7" t="s">
        <v>58</v>
      </c>
      <c r="Z12" s="7" t="s">
        <v>57</v>
      </c>
      <c r="AA12" s="7" t="s">
        <v>36</v>
      </c>
      <c r="AB12" s="7" t="s">
        <v>36</v>
      </c>
      <c r="AC12" s="7" t="s">
        <v>36</v>
      </c>
      <c r="AD12" s="7" t="s">
        <v>36</v>
      </c>
      <c r="AE12" s="7" t="s">
        <v>36</v>
      </c>
      <c r="AF12" s="7" t="s">
        <v>58</v>
      </c>
      <c r="AG12" s="7" t="s">
        <v>36</v>
      </c>
      <c r="AH12" s="7" t="s">
        <v>36</v>
      </c>
      <c r="AI12" s="7" t="s">
        <v>36</v>
      </c>
      <c r="AJ12" s="7" t="s">
        <v>36</v>
      </c>
      <c r="AK12" s="7" t="s">
        <v>56</v>
      </c>
      <c r="AL12" s="7" t="s">
        <v>36</v>
      </c>
      <c r="AM12" s="7" t="s">
        <v>58</v>
      </c>
      <c r="AN12" s="7" t="s">
        <v>56</v>
      </c>
      <c r="AO12" s="7"/>
      <c r="AP12" s="5"/>
      <c r="AQ12" s="5"/>
      <c r="AR12" s="7">
        <v>5</v>
      </c>
      <c r="AS12" s="7" t="s">
        <v>40</v>
      </c>
      <c r="AT12" s="7" t="s">
        <v>67</v>
      </c>
      <c r="AU12" s="7">
        <v>1005</v>
      </c>
      <c r="AV12" s="30">
        <f t="shared" si="2"/>
        <v>18</v>
      </c>
      <c r="AW12" s="30">
        <f t="shared" si="7"/>
        <v>5</v>
      </c>
      <c r="AX12" s="30">
        <f t="shared" si="3"/>
        <v>2</v>
      </c>
      <c r="AY12" s="31">
        <f t="shared" si="4"/>
        <v>5</v>
      </c>
      <c r="AZ12" s="31">
        <f t="shared" si="6"/>
        <v>30</v>
      </c>
      <c r="BA12" s="32">
        <f>Table137[[#This Row],[Days]]-Table137[[#This Row],[Absent]]</f>
        <v>25</v>
      </c>
      <c r="BB12" s="33">
        <v>4900</v>
      </c>
      <c r="BC12" s="36">
        <f>Table137[[#This Row],[Salary]]/Table137[[#This Row],[Days]]</f>
        <v>163.33333333333334</v>
      </c>
      <c r="BD12" s="34">
        <f>Table137[[#This Row],[Per Day Salary]]*Table137[[#This Row],[Absent]]</f>
        <v>816.66666666666674</v>
      </c>
      <c r="BE12" s="33">
        <f>Table137[[#This Row],[Salary]]-Table137[[#This Row],[Deduction ]]</f>
        <v>4083.333333333333</v>
      </c>
      <c r="BF12" s="5"/>
      <c r="BG12" s="5"/>
      <c r="BH12" s="5"/>
      <c r="BI12" s="5"/>
      <c r="BJ12" s="5"/>
      <c r="BK12" s="5"/>
      <c r="BL12" s="5"/>
    </row>
    <row r="13" spans="6:66" x14ac:dyDescent="0.35">
      <c r="G13" s="7">
        <v>6</v>
      </c>
      <c r="H13" s="27" t="s">
        <v>41</v>
      </c>
      <c r="I13" s="7">
        <v>1006</v>
      </c>
      <c r="J13" s="15">
        <f t="shared" si="5"/>
        <v>5</v>
      </c>
      <c r="K13" s="7" t="s">
        <v>58</v>
      </c>
      <c r="L13" s="7" t="s">
        <v>36</v>
      </c>
      <c r="M13" s="7" t="s">
        <v>36</v>
      </c>
      <c r="N13" s="7" t="s">
        <v>36</v>
      </c>
      <c r="O13" s="7" t="s">
        <v>36</v>
      </c>
      <c r="P13" s="7" t="s">
        <v>36</v>
      </c>
      <c r="Q13" s="7" t="s">
        <v>56</v>
      </c>
      <c r="R13" s="7" t="s">
        <v>58</v>
      </c>
      <c r="S13" s="7" t="s">
        <v>56</v>
      </c>
      <c r="T13" s="7" t="s">
        <v>57</v>
      </c>
      <c r="U13" s="7" t="s">
        <v>36</v>
      </c>
      <c r="V13" s="7" t="s">
        <v>36</v>
      </c>
      <c r="W13" s="7" t="s">
        <v>36</v>
      </c>
      <c r="X13" s="7" t="s">
        <v>56</v>
      </c>
      <c r="Y13" s="7" t="s">
        <v>58</v>
      </c>
      <c r="Z13" s="7" t="s">
        <v>57</v>
      </c>
      <c r="AA13" s="7" t="s">
        <v>36</v>
      </c>
      <c r="AB13" s="7" t="s">
        <v>36</v>
      </c>
      <c r="AC13" s="7" t="s">
        <v>36</v>
      </c>
      <c r="AD13" s="7" t="s">
        <v>36</v>
      </c>
      <c r="AE13" s="7" t="s">
        <v>36</v>
      </c>
      <c r="AF13" s="7" t="s">
        <v>58</v>
      </c>
      <c r="AG13" s="7" t="s">
        <v>36</v>
      </c>
      <c r="AH13" s="7" t="s">
        <v>36</v>
      </c>
      <c r="AI13" s="7" t="s">
        <v>36</v>
      </c>
      <c r="AJ13" s="7" t="s">
        <v>36</v>
      </c>
      <c r="AK13" s="7" t="s">
        <v>56</v>
      </c>
      <c r="AL13" s="7" t="s">
        <v>36</v>
      </c>
      <c r="AM13" s="7" t="s">
        <v>58</v>
      </c>
      <c r="AN13" s="7" t="s">
        <v>56</v>
      </c>
      <c r="AO13" s="7"/>
      <c r="AP13" s="5"/>
      <c r="AQ13" s="5"/>
      <c r="AR13" s="7">
        <v>6</v>
      </c>
      <c r="AS13" s="7" t="s">
        <v>41</v>
      </c>
      <c r="AT13" s="7" t="s">
        <v>67</v>
      </c>
      <c r="AU13" s="7">
        <v>1006</v>
      </c>
      <c r="AV13" s="30">
        <f t="shared" si="2"/>
        <v>18</v>
      </c>
      <c r="AW13" s="30">
        <f t="shared" si="7"/>
        <v>5</v>
      </c>
      <c r="AX13" s="30">
        <f t="shared" si="3"/>
        <v>2</v>
      </c>
      <c r="AY13" s="31">
        <f t="shared" si="4"/>
        <v>5</v>
      </c>
      <c r="AZ13" s="31">
        <f t="shared" si="6"/>
        <v>30</v>
      </c>
      <c r="BA13" s="32">
        <f>Table137[[#This Row],[Days]]-Table137[[#This Row],[Absent]]</f>
        <v>25</v>
      </c>
      <c r="BB13" s="33">
        <v>5000</v>
      </c>
      <c r="BC13" s="36">
        <f>Table137[[#This Row],[Salary]]/Table137[[#This Row],[Days]]</f>
        <v>166.66666666666666</v>
      </c>
      <c r="BD13" s="34">
        <f>Table137[[#This Row],[Per Day Salary]]*Table137[[#This Row],[Absent]]</f>
        <v>833.33333333333326</v>
      </c>
      <c r="BE13" s="33">
        <f>Table137[[#This Row],[Salary]]-Table137[[#This Row],[Deduction ]]</f>
        <v>4166.666666666667</v>
      </c>
      <c r="BF13" s="5"/>
      <c r="BG13" s="5"/>
      <c r="BH13" s="5"/>
      <c r="BI13" s="5"/>
      <c r="BJ13" s="5"/>
      <c r="BK13" s="5"/>
      <c r="BL13" s="5"/>
    </row>
    <row r="14" spans="6:66" x14ac:dyDescent="0.35">
      <c r="G14" s="7">
        <v>7</v>
      </c>
      <c r="H14" s="27" t="s">
        <v>42</v>
      </c>
      <c r="I14" s="7">
        <v>1007</v>
      </c>
      <c r="J14" s="15">
        <f t="shared" si="5"/>
        <v>5</v>
      </c>
      <c r="K14" s="7" t="s">
        <v>58</v>
      </c>
      <c r="L14" s="7" t="s">
        <v>36</v>
      </c>
      <c r="M14" s="7" t="s">
        <v>36</v>
      </c>
      <c r="N14" s="7" t="s">
        <v>36</v>
      </c>
      <c r="O14" s="7" t="s">
        <v>36</v>
      </c>
      <c r="P14" s="7" t="s">
        <v>36</v>
      </c>
      <c r="Q14" s="7" t="s">
        <v>56</v>
      </c>
      <c r="R14" s="7" t="s">
        <v>58</v>
      </c>
      <c r="S14" s="7" t="s">
        <v>56</v>
      </c>
      <c r="T14" s="7" t="s">
        <v>57</v>
      </c>
      <c r="U14" s="7" t="s">
        <v>36</v>
      </c>
      <c r="V14" s="7" t="s">
        <v>36</v>
      </c>
      <c r="W14" s="7" t="s">
        <v>36</v>
      </c>
      <c r="X14" s="7" t="s">
        <v>56</v>
      </c>
      <c r="Y14" s="7" t="s">
        <v>58</v>
      </c>
      <c r="Z14" s="7" t="s">
        <v>57</v>
      </c>
      <c r="AA14" s="7" t="s">
        <v>36</v>
      </c>
      <c r="AB14" s="7" t="s">
        <v>36</v>
      </c>
      <c r="AC14" s="7" t="s">
        <v>36</v>
      </c>
      <c r="AD14" s="7" t="s">
        <v>36</v>
      </c>
      <c r="AE14" s="7" t="s">
        <v>36</v>
      </c>
      <c r="AF14" s="7" t="s">
        <v>58</v>
      </c>
      <c r="AG14" s="7" t="s">
        <v>36</v>
      </c>
      <c r="AH14" s="7" t="s">
        <v>36</v>
      </c>
      <c r="AI14" s="7" t="s">
        <v>36</v>
      </c>
      <c r="AJ14" s="7" t="s">
        <v>36</v>
      </c>
      <c r="AK14" s="7" t="s">
        <v>56</v>
      </c>
      <c r="AL14" s="7" t="s">
        <v>36</v>
      </c>
      <c r="AM14" s="7" t="s">
        <v>58</v>
      </c>
      <c r="AN14" s="7" t="s">
        <v>56</v>
      </c>
      <c r="AO14" s="7"/>
      <c r="AR14" s="7">
        <v>7</v>
      </c>
      <c r="AS14" s="7" t="s">
        <v>42</v>
      </c>
      <c r="AT14" s="7" t="s">
        <v>67</v>
      </c>
      <c r="AU14" s="7">
        <v>1007</v>
      </c>
      <c r="AV14" s="30">
        <f t="shared" si="2"/>
        <v>18</v>
      </c>
      <c r="AW14" s="30">
        <f t="shared" si="7"/>
        <v>5</v>
      </c>
      <c r="AX14" s="30">
        <f t="shared" si="3"/>
        <v>2</v>
      </c>
      <c r="AY14" s="31">
        <f t="shared" si="4"/>
        <v>5</v>
      </c>
      <c r="AZ14" s="31">
        <f t="shared" si="6"/>
        <v>30</v>
      </c>
      <c r="BA14" s="32">
        <f>Table137[[#This Row],[Days]]-Table137[[#This Row],[Absent]]</f>
        <v>25</v>
      </c>
      <c r="BB14" s="33">
        <v>5100</v>
      </c>
      <c r="BC14" s="36">
        <f>Table137[[#This Row],[Salary]]/Table137[[#This Row],[Days]]</f>
        <v>170</v>
      </c>
      <c r="BD14" s="34">
        <f>Table137[[#This Row],[Per Day Salary]]*Table137[[#This Row],[Absent]]</f>
        <v>850</v>
      </c>
      <c r="BE14" s="33">
        <f>Table137[[#This Row],[Salary]]-Table137[[#This Row],[Deduction ]]</f>
        <v>4250</v>
      </c>
    </row>
    <row r="15" spans="6:66" x14ac:dyDescent="0.35">
      <c r="G15" s="7">
        <v>8</v>
      </c>
      <c r="H15" s="27" t="s">
        <v>43</v>
      </c>
      <c r="I15" s="7">
        <v>1008</v>
      </c>
      <c r="J15" s="15">
        <f t="shared" si="5"/>
        <v>5</v>
      </c>
      <c r="K15" s="7" t="s">
        <v>58</v>
      </c>
      <c r="L15" s="7" t="s">
        <v>36</v>
      </c>
      <c r="M15" s="7" t="s">
        <v>36</v>
      </c>
      <c r="N15" s="7" t="s">
        <v>36</v>
      </c>
      <c r="O15" s="7" t="s">
        <v>36</v>
      </c>
      <c r="P15" s="7" t="s">
        <v>36</v>
      </c>
      <c r="Q15" s="7" t="s">
        <v>56</v>
      </c>
      <c r="R15" s="7" t="s">
        <v>58</v>
      </c>
      <c r="S15" s="7" t="s">
        <v>56</v>
      </c>
      <c r="T15" s="7" t="s">
        <v>57</v>
      </c>
      <c r="U15" s="7" t="s">
        <v>36</v>
      </c>
      <c r="V15" s="7" t="s">
        <v>36</v>
      </c>
      <c r="W15" s="7" t="s">
        <v>36</v>
      </c>
      <c r="X15" s="7" t="s">
        <v>56</v>
      </c>
      <c r="Y15" s="7" t="s">
        <v>58</v>
      </c>
      <c r="Z15" s="7" t="s">
        <v>57</v>
      </c>
      <c r="AA15" s="7" t="s">
        <v>36</v>
      </c>
      <c r="AB15" s="7" t="s">
        <v>36</v>
      </c>
      <c r="AC15" s="7" t="s">
        <v>36</v>
      </c>
      <c r="AD15" s="7" t="s">
        <v>36</v>
      </c>
      <c r="AE15" s="7" t="s">
        <v>36</v>
      </c>
      <c r="AF15" s="7" t="s">
        <v>58</v>
      </c>
      <c r="AG15" s="7" t="s">
        <v>36</v>
      </c>
      <c r="AH15" s="7" t="s">
        <v>36</v>
      </c>
      <c r="AI15" s="7" t="s">
        <v>36</v>
      </c>
      <c r="AJ15" s="7" t="s">
        <v>36</v>
      </c>
      <c r="AK15" s="7" t="s">
        <v>56</v>
      </c>
      <c r="AL15" s="7" t="s">
        <v>36</v>
      </c>
      <c r="AM15" s="7" t="s">
        <v>58</v>
      </c>
      <c r="AN15" s="7" t="s">
        <v>56</v>
      </c>
      <c r="AO15" s="7"/>
      <c r="AR15" s="7">
        <v>8</v>
      </c>
      <c r="AS15" s="7" t="s">
        <v>43</v>
      </c>
      <c r="AT15" s="7" t="s">
        <v>67</v>
      </c>
      <c r="AU15" s="7">
        <v>1008</v>
      </c>
      <c r="AV15" s="30">
        <f t="shared" si="2"/>
        <v>18</v>
      </c>
      <c r="AW15" s="30">
        <f t="shared" si="7"/>
        <v>5</v>
      </c>
      <c r="AX15" s="30">
        <f t="shared" si="3"/>
        <v>2</v>
      </c>
      <c r="AY15" s="31">
        <f t="shared" si="4"/>
        <v>5</v>
      </c>
      <c r="AZ15" s="31">
        <f t="shared" si="6"/>
        <v>30</v>
      </c>
      <c r="BA15" s="32">
        <f>Table137[[#This Row],[Days]]-Table137[[#This Row],[Absent]]</f>
        <v>25</v>
      </c>
      <c r="BB15" s="33">
        <v>5200</v>
      </c>
      <c r="BC15" s="36">
        <f>Table137[[#This Row],[Salary]]/Table137[[#This Row],[Days]]</f>
        <v>173.33333333333334</v>
      </c>
      <c r="BD15" s="34">
        <f>Table137[[#This Row],[Per Day Salary]]*Table137[[#This Row],[Absent]]</f>
        <v>866.66666666666674</v>
      </c>
      <c r="BE15" s="33">
        <f>Table137[[#This Row],[Salary]]-Table137[[#This Row],[Deduction ]]</f>
        <v>4333.333333333333</v>
      </c>
    </row>
    <row r="16" spans="6:66" ht="15" thickBot="1" x14ac:dyDescent="0.4">
      <c r="G16" s="7">
        <v>9</v>
      </c>
      <c r="H16" s="27" t="s">
        <v>44</v>
      </c>
      <c r="I16" s="7">
        <v>1009</v>
      </c>
      <c r="J16" s="15">
        <f t="shared" si="5"/>
        <v>5</v>
      </c>
      <c r="K16" s="7" t="s">
        <v>58</v>
      </c>
      <c r="L16" s="7" t="s">
        <v>36</v>
      </c>
      <c r="M16" s="7" t="s">
        <v>36</v>
      </c>
      <c r="N16" s="7" t="s">
        <v>36</v>
      </c>
      <c r="O16" s="7" t="s">
        <v>36</v>
      </c>
      <c r="P16" s="7" t="s">
        <v>36</v>
      </c>
      <c r="Q16" s="7" t="s">
        <v>56</v>
      </c>
      <c r="R16" s="7" t="s">
        <v>58</v>
      </c>
      <c r="S16" s="7" t="s">
        <v>56</v>
      </c>
      <c r="T16" s="7" t="s">
        <v>57</v>
      </c>
      <c r="U16" s="7" t="s">
        <v>36</v>
      </c>
      <c r="V16" s="7" t="s">
        <v>36</v>
      </c>
      <c r="W16" s="7" t="s">
        <v>36</v>
      </c>
      <c r="X16" s="7" t="s">
        <v>56</v>
      </c>
      <c r="Y16" s="7" t="s">
        <v>58</v>
      </c>
      <c r="Z16" s="7" t="s">
        <v>57</v>
      </c>
      <c r="AA16" s="7" t="s">
        <v>36</v>
      </c>
      <c r="AB16" s="7" t="s">
        <v>36</v>
      </c>
      <c r="AC16" s="7" t="s">
        <v>36</v>
      </c>
      <c r="AD16" s="7" t="s">
        <v>36</v>
      </c>
      <c r="AE16" s="7" t="s">
        <v>36</v>
      </c>
      <c r="AF16" s="7" t="s">
        <v>58</v>
      </c>
      <c r="AG16" s="7" t="s">
        <v>36</v>
      </c>
      <c r="AH16" s="7" t="s">
        <v>36</v>
      </c>
      <c r="AI16" s="7" t="s">
        <v>36</v>
      </c>
      <c r="AJ16" s="7" t="s">
        <v>36</v>
      </c>
      <c r="AK16" s="7" t="s">
        <v>56</v>
      </c>
      <c r="AL16" s="7" t="s">
        <v>36</v>
      </c>
      <c r="AM16" s="7" t="s">
        <v>58</v>
      </c>
      <c r="AN16" s="7" t="s">
        <v>56</v>
      </c>
      <c r="AO16" s="7"/>
      <c r="AR16" s="7">
        <v>9</v>
      </c>
      <c r="AS16" s="7" t="s">
        <v>44</v>
      </c>
      <c r="AT16" s="7" t="s">
        <v>67</v>
      </c>
      <c r="AU16" s="7">
        <v>1009</v>
      </c>
      <c r="AV16" s="30">
        <f t="shared" si="2"/>
        <v>18</v>
      </c>
      <c r="AW16" s="30">
        <f t="shared" si="7"/>
        <v>5</v>
      </c>
      <c r="AX16" s="30">
        <f t="shared" si="3"/>
        <v>2</v>
      </c>
      <c r="AY16" s="31">
        <f t="shared" si="4"/>
        <v>5</v>
      </c>
      <c r="AZ16" s="31">
        <f t="shared" si="6"/>
        <v>30</v>
      </c>
      <c r="BA16" s="32">
        <f>Table137[[#This Row],[Days]]-Table137[[#This Row],[Absent]]</f>
        <v>25</v>
      </c>
      <c r="BB16" s="33">
        <v>5300</v>
      </c>
      <c r="BC16" s="36">
        <f>Table137[[#This Row],[Salary]]/Table137[[#This Row],[Days]]</f>
        <v>176.66666666666666</v>
      </c>
      <c r="BD16" s="34">
        <f>Table137[[#This Row],[Per Day Salary]]*Table137[[#This Row],[Absent]]</f>
        <v>883.33333333333326</v>
      </c>
      <c r="BE16" s="33">
        <f>Table137[[#This Row],[Salary]]-Table137[[#This Row],[Deduction ]]</f>
        <v>4416.666666666667</v>
      </c>
    </row>
    <row r="17" spans="7:60" ht="14.15" customHeight="1" thickBot="1" x14ac:dyDescent="0.4">
      <c r="G17" s="7">
        <v>10</v>
      </c>
      <c r="H17" s="27" t="s">
        <v>45</v>
      </c>
      <c r="I17" s="7">
        <v>1010</v>
      </c>
      <c r="J17" s="15">
        <f t="shared" si="5"/>
        <v>5</v>
      </c>
      <c r="K17" s="7" t="s">
        <v>58</v>
      </c>
      <c r="L17" s="7" t="s">
        <v>36</v>
      </c>
      <c r="M17" s="7" t="s">
        <v>36</v>
      </c>
      <c r="N17" s="7" t="s">
        <v>36</v>
      </c>
      <c r="O17" s="7" t="s">
        <v>36</v>
      </c>
      <c r="P17" s="7" t="s">
        <v>36</v>
      </c>
      <c r="Q17" s="7" t="s">
        <v>56</v>
      </c>
      <c r="R17" s="7" t="s">
        <v>58</v>
      </c>
      <c r="S17" s="7" t="s">
        <v>56</v>
      </c>
      <c r="T17" s="7" t="s">
        <v>57</v>
      </c>
      <c r="U17" s="7" t="s">
        <v>36</v>
      </c>
      <c r="V17" s="7" t="s">
        <v>36</v>
      </c>
      <c r="W17" s="7" t="s">
        <v>36</v>
      </c>
      <c r="X17" s="7" t="s">
        <v>56</v>
      </c>
      <c r="Y17" s="7" t="s">
        <v>58</v>
      </c>
      <c r="Z17" s="7" t="s">
        <v>57</v>
      </c>
      <c r="AA17" s="7" t="s">
        <v>36</v>
      </c>
      <c r="AB17" s="7" t="s">
        <v>36</v>
      </c>
      <c r="AC17" s="7" t="s">
        <v>36</v>
      </c>
      <c r="AD17" s="7" t="s">
        <v>36</v>
      </c>
      <c r="AE17" s="7" t="s">
        <v>36</v>
      </c>
      <c r="AF17" s="7" t="s">
        <v>58</v>
      </c>
      <c r="AG17" s="7" t="s">
        <v>36</v>
      </c>
      <c r="AH17" s="7" t="s">
        <v>36</v>
      </c>
      <c r="AI17" s="7" t="s">
        <v>36</v>
      </c>
      <c r="AJ17" s="7" t="s">
        <v>36</v>
      </c>
      <c r="AK17" s="7" t="s">
        <v>56</v>
      </c>
      <c r="AL17" s="7" t="s">
        <v>36</v>
      </c>
      <c r="AM17" s="7" t="s">
        <v>58</v>
      </c>
      <c r="AN17" s="7" t="s">
        <v>56</v>
      </c>
      <c r="AO17" s="7"/>
      <c r="AR17" s="7">
        <v>10</v>
      </c>
      <c r="AS17" s="7" t="s">
        <v>45</v>
      </c>
      <c r="AT17" s="7" t="s">
        <v>67</v>
      </c>
      <c r="AU17" s="7">
        <v>1010</v>
      </c>
      <c r="AV17" s="30">
        <f t="shared" si="2"/>
        <v>18</v>
      </c>
      <c r="AW17" s="30">
        <f t="shared" si="7"/>
        <v>5</v>
      </c>
      <c r="AX17" s="30">
        <f t="shared" si="3"/>
        <v>2</v>
      </c>
      <c r="AY17" s="31">
        <f t="shared" si="4"/>
        <v>5</v>
      </c>
      <c r="AZ17" s="31">
        <f t="shared" si="6"/>
        <v>30</v>
      </c>
      <c r="BA17" s="32">
        <f>Table137[[#This Row],[Days]]-Table137[[#This Row],[Absent]]</f>
        <v>25</v>
      </c>
      <c r="BB17" s="33">
        <v>5400</v>
      </c>
      <c r="BC17" s="36">
        <f>Table137[[#This Row],[Salary]]/Table137[[#This Row],[Days]]</f>
        <v>180</v>
      </c>
      <c r="BD17" s="34">
        <f>Table137[[#This Row],[Per Day Salary]]*Table137[[#This Row],[Absent]]</f>
        <v>900</v>
      </c>
      <c r="BE17" s="33">
        <f>Table137[[#This Row],[Salary]]-Table137[[#This Row],[Deduction ]]</f>
        <v>4500</v>
      </c>
      <c r="BH17" s="19"/>
    </row>
    <row r="18" spans="7:60" x14ac:dyDescent="0.35">
      <c r="G18" s="7">
        <v>11</v>
      </c>
      <c r="H18" s="27" t="s">
        <v>46</v>
      </c>
      <c r="I18" s="7">
        <v>1011</v>
      </c>
      <c r="J18" s="15">
        <f t="shared" si="5"/>
        <v>5</v>
      </c>
      <c r="K18" s="7" t="s">
        <v>58</v>
      </c>
      <c r="L18" s="7" t="s">
        <v>36</v>
      </c>
      <c r="M18" s="7" t="s">
        <v>36</v>
      </c>
      <c r="N18" s="7" t="s">
        <v>36</v>
      </c>
      <c r="O18" s="7" t="s">
        <v>36</v>
      </c>
      <c r="P18" s="7" t="s">
        <v>36</v>
      </c>
      <c r="Q18" s="7" t="s">
        <v>56</v>
      </c>
      <c r="R18" s="7" t="s">
        <v>58</v>
      </c>
      <c r="S18" s="7" t="s">
        <v>56</v>
      </c>
      <c r="T18" s="7" t="s">
        <v>57</v>
      </c>
      <c r="U18" s="7" t="s">
        <v>36</v>
      </c>
      <c r="V18" s="7" t="s">
        <v>36</v>
      </c>
      <c r="W18" s="7" t="s">
        <v>36</v>
      </c>
      <c r="X18" s="7" t="s">
        <v>56</v>
      </c>
      <c r="Y18" s="7" t="s">
        <v>58</v>
      </c>
      <c r="Z18" s="7" t="s">
        <v>57</v>
      </c>
      <c r="AA18" s="7" t="s">
        <v>36</v>
      </c>
      <c r="AB18" s="7" t="s">
        <v>36</v>
      </c>
      <c r="AC18" s="7" t="s">
        <v>36</v>
      </c>
      <c r="AD18" s="7" t="s">
        <v>36</v>
      </c>
      <c r="AE18" s="7" t="s">
        <v>36</v>
      </c>
      <c r="AF18" s="7" t="s">
        <v>58</v>
      </c>
      <c r="AG18" s="7" t="s">
        <v>36</v>
      </c>
      <c r="AH18" s="7" t="s">
        <v>36</v>
      </c>
      <c r="AI18" s="7" t="s">
        <v>36</v>
      </c>
      <c r="AJ18" s="7" t="s">
        <v>36</v>
      </c>
      <c r="AK18" s="7" t="s">
        <v>56</v>
      </c>
      <c r="AL18" s="7" t="s">
        <v>36</v>
      </c>
      <c r="AM18" s="7" t="s">
        <v>58</v>
      </c>
      <c r="AN18" s="7" t="s">
        <v>56</v>
      </c>
      <c r="AO18" s="7"/>
      <c r="AR18" s="7">
        <v>11</v>
      </c>
      <c r="AS18" s="7" t="s">
        <v>46</v>
      </c>
      <c r="AT18" s="7" t="s">
        <v>67</v>
      </c>
      <c r="AU18" s="7">
        <v>1011</v>
      </c>
      <c r="AV18" s="30">
        <f t="shared" si="2"/>
        <v>18</v>
      </c>
      <c r="AW18" s="30">
        <f t="shared" si="7"/>
        <v>5</v>
      </c>
      <c r="AX18" s="30">
        <f t="shared" si="3"/>
        <v>2</v>
      </c>
      <c r="AY18" s="31">
        <f t="shared" si="4"/>
        <v>5</v>
      </c>
      <c r="AZ18" s="31">
        <f t="shared" si="6"/>
        <v>30</v>
      </c>
      <c r="BA18" s="32">
        <f>Table137[[#This Row],[Days]]-Table137[[#This Row],[Absent]]</f>
        <v>25</v>
      </c>
      <c r="BB18" s="33">
        <v>5500</v>
      </c>
      <c r="BC18" s="36">
        <f>Table137[[#This Row],[Salary]]/Table137[[#This Row],[Days]]</f>
        <v>183.33333333333334</v>
      </c>
      <c r="BD18" s="34">
        <f>Table137[[#This Row],[Per Day Salary]]*Table137[[#This Row],[Absent]]</f>
        <v>916.66666666666674</v>
      </c>
      <c r="BE18" s="33">
        <f>Table137[[#This Row],[Salary]]-Table137[[#This Row],[Deduction ]]</f>
        <v>4583.333333333333</v>
      </c>
    </row>
    <row r="19" spans="7:60" x14ac:dyDescent="0.35">
      <c r="G19" s="7">
        <v>12</v>
      </c>
      <c r="H19" s="27" t="s">
        <v>47</v>
      </c>
      <c r="I19" s="7">
        <v>1012</v>
      </c>
      <c r="J19" s="15">
        <f t="shared" si="5"/>
        <v>5</v>
      </c>
      <c r="K19" s="7" t="s">
        <v>58</v>
      </c>
      <c r="L19" s="7" t="s">
        <v>36</v>
      </c>
      <c r="M19" s="7" t="s">
        <v>36</v>
      </c>
      <c r="N19" s="7" t="s">
        <v>36</v>
      </c>
      <c r="O19" s="7" t="s">
        <v>36</v>
      </c>
      <c r="P19" s="7" t="s">
        <v>36</v>
      </c>
      <c r="Q19" s="7" t="s">
        <v>56</v>
      </c>
      <c r="R19" s="7" t="s">
        <v>58</v>
      </c>
      <c r="S19" s="7" t="s">
        <v>56</v>
      </c>
      <c r="T19" s="7" t="s">
        <v>57</v>
      </c>
      <c r="U19" s="7" t="s">
        <v>36</v>
      </c>
      <c r="V19" s="7" t="s">
        <v>36</v>
      </c>
      <c r="W19" s="7" t="s">
        <v>36</v>
      </c>
      <c r="X19" s="7" t="s">
        <v>56</v>
      </c>
      <c r="Y19" s="7" t="s">
        <v>58</v>
      </c>
      <c r="Z19" s="7" t="s">
        <v>57</v>
      </c>
      <c r="AA19" s="7" t="s">
        <v>36</v>
      </c>
      <c r="AB19" s="7" t="s">
        <v>36</v>
      </c>
      <c r="AC19" s="7" t="s">
        <v>36</v>
      </c>
      <c r="AD19" s="7" t="s">
        <v>36</v>
      </c>
      <c r="AE19" s="7" t="s">
        <v>36</v>
      </c>
      <c r="AF19" s="7" t="s">
        <v>58</v>
      </c>
      <c r="AG19" s="7" t="s">
        <v>36</v>
      </c>
      <c r="AH19" s="7" t="s">
        <v>36</v>
      </c>
      <c r="AI19" s="7" t="s">
        <v>36</v>
      </c>
      <c r="AJ19" s="7" t="s">
        <v>36</v>
      </c>
      <c r="AK19" s="7" t="s">
        <v>56</v>
      </c>
      <c r="AL19" s="7" t="s">
        <v>36</v>
      </c>
      <c r="AM19" s="7" t="s">
        <v>58</v>
      </c>
      <c r="AN19" s="7" t="s">
        <v>56</v>
      </c>
      <c r="AO19" s="7"/>
      <c r="AR19" s="7">
        <v>12</v>
      </c>
      <c r="AS19" s="7" t="s">
        <v>47</v>
      </c>
      <c r="AT19" s="7" t="s">
        <v>67</v>
      </c>
      <c r="AU19" s="7">
        <v>1012</v>
      </c>
      <c r="AV19" s="30">
        <f t="shared" si="2"/>
        <v>18</v>
      </c>
      <c r="AW19" s="30">
        <f t="shared" si="7"/>
        <v>5</v>
      </c>
      <c r="AX19" s="30">
        <f t="shared" si="3"/>
        <v>2</v>
      </c>
      <c r="AY19" s="31">
        <f t="shared" si="4"/>
        <v>5</v>
      </c>
      <c r="AZ19" s="31">
        <f t="shared" si="6"/>
        <v>30</v>
      </c>
      <c r="BA19" s="32">
        <f>Table137[[#This Row],[Days]]-Table137[[#This Row],[Absent]]</f>
        <v>25</v>
      </c>
      <c r="BB19" s="33">
        <v>5600</v>
      </c>
      <c r="BC19" s="36">
        <f>Table137[[#This Row],[Salary]]/Table137[[#This Row],[Days]]</f>
        <v>186.66666666666666</v>
      </c>
      <c r="BD19" s="34">
        <f>Table137[[#This Row],[Per Day Salary]]*Table137[[#This Row],[Absent]]</f>
        <v>933.33333333333326</v>
      </c>
      <c r="BE19" s="33">
        <f>Table137[[#This Row],[Salary]]-Table137[[#This Row],[Deduction ]]</f>
        <v>4666.666666666667</v>
      </c>
    </row>
    <row r="20" spans="7:60" x14ac:dyDescent="0.35">
      <c r="G20" s="7">
        <v>13</v>
      </c>
      <c r="H20" s="27" t="s">
        <v>48</v>
      </c>
      <c r="I20" s="7">
        <v>1013</v>
      </c>
      <c r="J20" s="15">
        <f t="shared" si="5"/>
        <v>5</v>
      </c>
      <c r="K20" s="7" t="s">
        <v>58</v>
      </c>
      <c r="L20" s="7" t="s">
        <v>36</v>
      </c>
      <c r="M20" s="7" t="s">
        <v>36</v>
      </c>
      <c r="N20" s="7" t="s">
        <v>36</v>
      </c>
      <c r="O20" s="7" t="s">
        <v>36</v>
      </c>
      <c r="P20" s="7" t="s">
        <v>36</v>
      </c>
      <c r="Q20" s="7" t="s">
        <v>56</v>
      </c>
      <c r="R20" s="7" t="s">
        <v>58</v>
      </c>
      <c r="S20" s="7" t="s">
        <v>56</v>
      </c>
      <c r="T20" s="7" t="s">
        <v>57</v>
      </c>
      <c r="U20" s="7" t="s">
        <v>36</v>
      </c>
      <c r="V20" s="7" t="s">
        <v>36</v>
      </c>
      <c r="W20" s="7" t="s">
        <v>36</v>
      </c>
      <c r="X20" s="7" t="s">
        <v>56</v>
      </c>
      <c r="Y20" s="7" t="s">
        <v>58</v>
      </c>
      <c r="Z20" s="7" t="s">
        <v>57</v>
      </c>
      <c r="AA20" s="7" t="s">
        <v>36</v>
      </c>
      <c r="AB20" s="7" t="s">
        <v>36</v>
      </c>
      <c r="AC20" s="7" t="s">
        <v>36</v>
      </c>
      <c r="AD20" s="7" t="s">
        <v>36</v>
      </c>
      <c r="AE20" s="7" t="s">
        <v>36</v>
      </c>
      <c r="AF20" s="7" t="s">
        <v>58</v>
      </c>
      <c r="AG20" s="7" t="s">
        <v>36</v>
      </c>
      <c r="AH20" s="7" t="s">
        <v>36</v>
      </c>
      <c r="AI20" s="7" t="s">
        <v>36</v>
      </c>
      <c r="AJ20" s="7" t="s">
        <v>36</v>
      </c>
      <c r="AK20" s="7" t="s">
        <v>56</v>
      </c>
      <c r="AL20" s="7" t="s">
        <v>36</v>
      </c>
      <c r="AM20" s="7" t="s">
        <v>58</v>
      </c>
      <c r="AN20" s="7" t="s">
        <v>56</v>
      </c>
      <c r="AO20" s="7"/>
      <c r="AR20" s="7">
        <v>13</v>
      </c>
      <c r="AS20" s="7" t="s">
        <v>48</v>
      </c>
      <c r="AT20" s="7" t="s">
        <v>67</v>
      </c>
      <c r="AU20" s="7">
        <v>1013</v>
      </c>
      <c r="AV20" s="30">
        <f t="shared" si="2"/>
        <v>18</v>
      </c>
      <c r="AW20" s="30">
        <f t="shared" si="7"/>
        <v>5</v>
      </c>
      <c r="AX20" s="30">
        <f t="shared" si="3"/>
        <v>2</v>
      </c>
      <c r="AY20" s="31">
        <f t="shared" si="4"/>
        <v>5</v>
      </c>
      <c r="AZ20" s="31">
        <f t="shared" si="6"/>
        <v>30</v>
      </c>
      <c r="BA20" s="32">
        <f>Table137[[#This Row],[Days]]-Table137[[#This Row],[Absent]]</f>
        <v>25</v>
      </c>
      <c r="BB20" s="33">
        <v>5700</v>
      </c>
      <c r="BC20" s="36">
        <f>Table137[[#This Row],[Salary]]/Table137[[#This Row],[Days]]</f>
        <v>190</v>
      </c>
      <c r="BD20" s="34">
        <f>Table137[[#This Row],[Per Day Salary]]*Table137[[#This Row],[Absent]]</f>
        <v>950</v>
      </c>
      <c r="BE20" s="33">
        <f>Table137[[#This Row],[Salary]]-Table137[[#This Row],[Deduction ]]</f>
        <v>4750</v>
      </c>
    </row>
    <row r="21" spans="7:60" x14ac:dyDescent="0.35">
      <c r="G21" s="7">
        <v>14</v>
      </c>
      <c r="H21" s="27" t="s">
        <v>49</v>
      </c>
      <c r="I21" s="7">
        <v>1014</v>
      </c>
      <c r="J21" s="15">
        <f t="shared" si="5"/>
        <v>5</v>
      </c>
      <c r="K21" s="7" t="s">
        <v>58</v>
      </c>
      <c r="L21" s="7" t="s">
        <v>36</v>
      </c>
      <c r="M21" s="7" t="s">
        <v>36</v>
      </c>
      <c r="N21" s="7" t="s">
        <v>36</v>
      </c>
      <c r="O21" s="7" t="s">
        <v>36</v>
      </c>
      <c r="P21" s="7" t="s">
        <v>36</v>
      </c>
      <c r="Q21" s="7" t="s">
        <v>56</v>
      </c>
      <c r="R21" s="7" t="s">
        <v>58</v>
      </c>
      <c r="S21" s="7" t="s">
        <v>56</v>
      </c>
      <c r="T21" s="7" t="s">
        <v>57</v>
      </c>
      <c r="U21" s="7" t="s">
        <v>36</v>
      </c>
      <c r="V21" s="7" t="s">
        <v>36</v>
      </c>
      <c r="W21" s="7" t="s">
        <v>36</v>
      </c>
      <c r="X21" s="7" t="s">
        <v>56</v>
      </c>
      <c r="Y21" s="7" t="s">
        <v>58</v>
      </c>
      <c r="Z21" s="7" t="s">
        <v>57</v>
      </c>
      <c r="AA21" s="7" t="s">
        <v>36</v>
      </c>
      <c r="AB21" s="7" t="s">
        <v>36</v>
      </c>
      <c r="AC21" s="7" t="s">
        <v>36</v>
      </c>
      <c r="AD21" s="7" t="s">
        <v>36</v>
      </c>
      <c r="AE21" s="7" t="s">
        <v>36</v>
      </c>
      <c r="AF21" s="7" t="s">
        <v>58</v>
      </c>
      <c r="AG21" s="7" t="s">
        <v>36</v>
      </c>
      <c r="AH21" s="7" t="s">
        <v>36</v>
      </c>
      <c r="AI21" s="7" t="s">
        <v>36</v>
      </c>
      <c r="AJ21" s="7" t="s">
        <v>36</v>
      </c>
      <c r="AK21" s="7" t="s">
        <v>56</v>
      </c>
      <c r="AL21" s="7" t="s">
        <v>36</v>
      </c>
      <c r="AM21" s="7" t="s">
        <v>58</v>
      </c>
      <c r="AN21" s="7" t="s">
        <v>56</v>
      </c>
      <c r="AO21" s="7"/>
      <c r="AR21" s="7">
        <v>14</v>
      </c>
      <c r="AS21" s="7" t="s">
        <v>49</v>
      </c>
      <c r="AT21" s="7" t="s">
        <v>67</v>
      </c>
      <c r="AU21" s="7">
        <v>1014</v>
      </c>
      <c r="AV21" s="30">
        <f t="shared" si="2"/>
        <v>18</v>
      </c>
      <c r="AW21" s="30">
        <f t="shared" si="7"/>
        <v>5</v>
      </c>
      <c r="AX21" s="30">
        <f t="shared" si="3"/>
        <v>2</v>
      </c>
      <c r="AY21" s="31">
        <f t="shared" si="4"/>
        <v>5</v>
      </c>
      <c r="AZ21" s="31">
        <f t="shared" si="6"/>
        <v>30</v>
      </c>
      <c r="BA21" s="32">
        <f>Table137[[#This Row],[Days]]-Table137[[#This Row],[Absent]]</f>
        <v>25</v>
      </c>
      <c r="BB21" s="33">
        <v>5800</v>
      </c>
      <c r="BC21" s="36">
        <f>Table137[[#This Row],[Salary]]/Table137[[#This Row],[Days]]</f>
        <v>193.33333333333334</v>
      </c>
      <c r="BD21" s="34">
        <f>Table137[[#This Row],[Per Day Salary]]*Table137[[#This Row],[Absent]]</f>
        <v>966.66666666666674</v>
      </c>
      <c r="BE21" s="33">
        <f>Table137[[#This Row],[Salary]]-Table137[[#This Row],[Deduction ]]</f>
        <v>4833.333333333333</v>
      </c>
    </row>
    <row r="22" spans="7:60" x14ac:dyDescent="0.35">
      <c r="G22" s="7">
        <v>15</v>
      </c>
      <c r="H22" s="27" t="s">
        <v>50</v>
      </c>
      <c r="I22" s="7">
        <v>1015</v>
      </c>
      <c r="J22" s="15">
        <f t="shared" si="5"/>
        <v>5</v>
      </c>
      <c r="K22" s="7" t="s">
        <v>58</v>
      </c>
      <c r="L22" s="7" t="s">
        <v>36</v>
      </c>
      <c r="M22" s="7" t="s">
        <v>36</v>
      </c>
      <c r="N22" s="7" t="s">
        <v>36</v>
      </c>
      <c r="O22" s="7" t="s">
        <v>36</v>
      </c>
      <c r="P22" s="7" t="s">
        <v>36</v>
      </c>
      <c r="Q22" s="7" t="s">
        <v>56</v>
      </c>
      <c r="R22" s="7" t="s">
        <v>58</v>
      </c>
      <c r="S22" s="7" t="s">
        <v>56</v>
      </c>
      <c r="T22" s="7" t="s">
        <v>57</v>
      </c>
      <c r="U22" s="7" t="s">
        <v>36</v>
      </c>
      <c r="V22" s="7" t="s">
        <v>36</v>
      </c>
      <c r="W22" s="7" t="s">
        <v>36</v>
      </c>
      <c r="X22" s="7" t="s">
        <v>56</v>
      </c>
      <c r="Y22" s="7" t="s">
        <v>58</v>
      </c>
      <c r="Z22" s="7" t="s">
        <v>57</v>
      </c>
      <c r="AA22" s="7" t="s">
        <v>36</v>
      </c>
      <c r="AB22" s="7" t="s">
        <v>36</v>
      </c>
      <c r="AC22" s="7" t="s">
        <v>36</v>
      </c>
      <c r="AD22" s="7" t="s">
        <v>36</v>
      </c>
      <c r="AE22" s="7" t="s">
        <v>36</v>
      </c>
      <c r="AF22" s="7" t="s">
        <v>58</v>
      </c>
      <c r="AG22" s="7" t="s">
        <v>36</v>
      </c>
      <c r="AH22" s="7" t="s">
        <v>36</v>
      </c>
      <c r="AI22" s="7" t="s">
        <v>36</v>
      </c>
      <c r="AJ22" s="7" t="s">
        <v>36</v>
      </c>
      <c r="AK22" s="7" t="s">
        <v>56</v>
      </c>
      <c r="AL22" s="7" t="s">
        <v>36</v>
      </c>
      <c r="AM22" s="7" t="s">
        <v>58</v>
      </c>
      <c r="AN22" s="7" t="s">
        <v>56</v>
      </c>
      <c r="AO22" s="7"/>
      <c r="AR22" s="7">
        <v>15</v>
      </c>
      <c r="AS22" s="7" t="s">
        <v>50</v>
      </c>
      <c r="AT22" s="7" t="s">
        <v>67</v>
      </c>
      <c r="AU22" s="7">
        <v>1015</v>
      </c>
      <c r="AV22" s="30">
        <f t="shared" si="2"/>
        <v>18</v>
      </c>
      <c r="AW22" s="30">
        <f t="shared" si="7"/>
        <v>5</v>
      </c>
      <c r="AX22" s="30">
        <f t="shared" si="3"/>
        <v>2</v>
      </c>
      <c r="AY22" s="31">
        <f t="shared" si="4"/>
        <v>5</v>
      </c>
      <c r="AZ22" s="31">
        <f t="shared" si="6"/>
        <v>30</v>
      </c>
      <c r="BA22" s="32">
        <f>Table137[[#This Row],[Days]]-Table137[[#This Row],[Absent]]</f>
        <v>25</v>
      </c>
      <c r="BB22" s="33">
        <v>5900</v>
      </c>
      <c r="BC22" s="36">
        <f>Table137[[#This Row],[Salary]]/Table137[[#This Row],[Days]]</f>
        <v>196.66666666666666</v>
      </c>
      <c r="BD22" s="34">
        <f>Table137[[#This Row],[Per Day Salary]]*Table137[[#This Row],[Absent]]</f>
        <v>983.33333333333326</v>
      </c>
      <c r="BE22" s="33">
        <f>Table137[[#This Row],[Salary]]-Table137[[#This Row],[Deduction ]]</f>
        <v>4916.666666666667</v>
      </c>
    </row>
    <row r="23" spans="7:60" x14ac:dyDescent="0.35">
      <c r="G23" s="7">
        <v>16</v>
      </c>
      <c r="H23" s="27" t="s">
        <v>51</v>
      </c>
      <c r="I23" s="7">
        <v>1016</v>
      </c>
      <c r="J23" s="15">
        <f t="shared" si="5"/>
        <v>5</v>
      </c>
      <c r="K23" s="7" t="s">
        <v>58</v>
      </c>
      <c r="L23" s="7" t="s">
        <v>36</v>
      </c>
      <c r="M23" s="7" t="s">
        <v>36</v>
      </c>
      <c r="N23" s="7" t="s">
        <v>36</v>
      </c>
      <c r="O23" s="7" t="s">
        <v>36</v>
      </c>
      <c r="P23" s="7" t="s">
        <v>36</v>
      </c>
      <c r="Q23" s="7" t="s">
        <v>56</v>
      </c>
      <c r="R23" s="7" t="s">
        <v>58</v>
      </c>
      <c r="S23" s="7" t="s">
        <v>56</v>
      </c>
      <c r="T23" s="7" t="s">
        <v>57</v>
      </c>
      <c r="U23" s="7" t="s">
        <v>36</v>
      </c>
      <c r="V23" s="7" t="s">
        <v>36</v>
      </c>
      <c r="W23" s="7" t="s">
        <v>36</v>
      </c>
      <c r="X23" s="7" t="s">
        <v>56</v>
      </c>
      <c r="Y23" s="7" t="s">
        <v>58</v>
      </c>
      <c r="Z23" s="7" t="s">
        <v>57</v>
      </c>
      <c r="AA23" s="7" t="s">
        <v>36</v>
      </c>
      <c r="AB23" s="7" t="s">
        <v>36</v>
      </c>
      <c r="AC23" s="7" t="s">
        <v>36</v>
      </c>
      <c r="AD23" s="7" t="s">
        <v>36</v>
      </c>
      <c r="AE23" s="7" t="s">
        <v>36</v>
      </c>
      <c r="AF23" s="7" t="s">
        <v>58</v>
      </c>
      <c r="AG23" s="7" t="s">
        <v>36</v>
      </c>
      <c r="AH23" s="7" t="s">
        <v>36</v>
      </c>
      <c r="AI23" s="7" t="s">
        <v>36</v>
      </c>
      <c r="AJ23" s="7" t="s">
        <v>36</v>
      </c>
      <c r="AK23" s="7" t="s">
        <v>56</v>
      </c>
      <c r="AL23" s="7" t="s">
        <v>36</v>
      </c>
      <c r="AM23" s="7" t="s">
        <v>58</v>
      </c>
      <c r="AN23" s="7" t="s">
        <v>56</v>
      </c>
      <c r="AO23" s="7"/>
      <c r="AR23" s="7">
        <v>16</v>
      </c>
      <c r="AS23" s="7" t="s">
        <v>51</v>
      </c>
      <c r="AT23" s="7" t="s">
        <v>67</v>
      </c>
      <c r="AU23" s="7">
        <v>1016</v>
      </c>
      <c r="AV23" s="30">
        <f t="shared" si="2"/>
        <v>18</v>
      </c>
      <c r="AW23" s="30">
        <f t="shared" si="7"/>
        <v>5</v>
      </c>
      <c r="AX23" s="30">
        <f t="shared" si="3"/>
        <v>2</v>
      </c>
      <c r="AY23" s="31">
        <f t="shared" si="4"/>
        <v>5</v>
      </c>
      <c r="AZ23" s="31">
        <f t="shared" si="6"/>
        <v>30</v>
      </c>
      <c r="BA23" s="32">
        <f>Table137[[#This Row],[Days]]-Table137[[#This Row],[Absent]]</f>
        <v>25</v>
      </c>
      <c r="BB23" s="33">
        <v>6000</v>
      </c>
      <c r="BC23" s="36">
        <f>Table137[[#This Row],[Salary]]/Table137[[#This Row],[Days]]</f>
        <v>200</v>
      </c>
      <c r="BD23" s="34">
        <f>Table137[[#This Row],[Per Day Salary]]*Table137[[#This Row],[Absent]]</f>
        <v>1000</v>
      </c>
      <c r="BE23" s="33">
        <f>Table137[[#This Row],[Salary]]-Table137[[#This Row],[Deduction ]]</f>
        <v>5000</v>
      </c>
    </row>
    <row r="24" spans="7:60" x14ac:dyDescent="0.35">
      <c r="G24" s="7">
        <v>17</v>
      </c>
      <c r="H24" s="27" t="s">
        <v>52</v>
      </c>
      <c r="I24" s="7">
        <v>1017</v>
      </c>
      <c r="J24" s="15">
        <f t="shared" si="5"/>
        <v>5</v>
      </c>
      <c r="K24" s="7" t="s">
        <v>58</v>
      </c>
      <c r="L24" s="7" t="s">
        <v>36</v>
      </c>
      <c r="M24" s="7" t="s">
        <v>36</v>
      </c>
      <c r="N24" s="7" t="s">
        <v>36</v>
      </c>
      <c r="O24" s="7" t="s">
        <v>36</v>
      </c>
      <c r="P24" s="7" t="s">
        <v>36</v>
      </c>
      <c r="Q24" s="7" t="s">
        <v>56</v>
      </c>
      <c r="R24" s="7" t="s">
        <v>58</v>
      </c>
      <c r="S24" s="7" t="s">
        <v>56</v>
      </c>
      <c r="T24" s="7" t="s">
        <v>57</v>
      </c>
      <c r="U24" s="7" t="s">
        <v>36</v>
      </c>
      <c r="V24" s="7" t="s">
        <v>36</v>
      </c>
      <c r="W24" s="7" t="s">
        <v>36</v>
      </c>
      <c r="X24" s="7" t="s">
        <v>56</v>
      </c>
      <c r="Y24" s="7" t="s">
        <v>58</v>
      </c>
      <c r="Z24" s="7" t="s">
        <v>57</v>
      </c>
      <c r="AA24" s="7" t="s">
        <v>36</v>
      </c>
      <c r="AB24" s="7" t="s">
        <v>36</v>
      </c>
      <c r="AC24" s="7" t="s">
        <v>36</v>
      </c>
      <c r="AD24" s="7" t="s">
        <v>36</v>
      </c>
      <c r="AE24" s="7" t="s">
        <v>36</v>
      </c>
      <c r="AF24" s="7" t="s">
        <v>58</v>
      </c>
      <c r="AG24" s="7" t="s">
        <v>36</v>
      </c>
      <c r="AH24" s="7" t="s">
        <v>36</v>
      </c>
      <c r="AI24" s="7" t="s">
        <v>36</v>
      </c>
      <c r="AJ24" s="7" t="s">
        <v>36</v>
      </c>
      <c r="AK24" s="7" t="s">
        <v>36</v>
      </c>
      <c r="AL24" s="7" t="s">
        <v>36</v>
      </c>
      <c r="AM24" s="7" t="s">
        <v>58</v>
      </c>
      <c r="AN24" s="7" t="s">
        <v>56</v>
      </c>
      <c r="AO24" s="7"/>
      <c r="AR24" s="7">
        <v>17</v>
      </c>
      <c r="AS24" s="7" t="s">
        <v>52</v>
      </c>
      <c r="AT24" s="7" t="s">
        <v>67</v>
      </c>
      <c r="AU24" s="7">
        <v>1017</v>
      </c>
      <c r="AV24" s="30">
        <f t="shared" si="2"/>
        <v>19</v>
      </c>
      <c r="AW24" s="30">
        <f t="shared" si="7"/>
        <v>4</v>
      </c>
      <c r="AX24" s="30">
        <f t="shared" si="3"/>
        <v>2</v>
      </c>
      <c r="AY24" s="31">
        <f t="shared" si="4"/>
        <v>5</v>
      </c>
      <c r="AZ24" s="31">
        <f t="shared" si="6"/>
        <v>30</v>
      </c>
      <c r="BA24" s="1">
        <f>Table137[[#This Row],[Days]]-Table137[[#This Row],[Absent]]</f>
        <v>26</v>
      </c>
      <c r="BB24" s="33">
        <v>6100</v>
      </c>
      <c r="BC24" s="36">
        <f>Table137[[#This Row],[Salary]]/Table137[[#This Row],[Days]]</f>
        <v>203.33333333333334</v>
      </c>
      <c r="BD24" s="34">
        <f>Table137[[#This Row],[Per Day Salary]]*Table137[[#This Row],[Absent]]</f>
        <v>813.33333333333337</v>
      </c>
      <c r="BE24" s="33">
        <f>Table137[[#This Row],[Salary]]-Table137[[#This Row],[Deduction ]]</f>
        <v>5286.666666666667</v>
      </c>
    </row>
    <row r="25" spans="7:60" x14ac:dyDescent="0.35">
      <c r="G25" s="7">
        <v>18</v>
      </c>
      <c r="H25" s="27" t="s">
        <v>53</v>
      </c>
      <c r="I25" s="7">
        <v>1018</v>
      </c>
      <c r="J25" s="15">
        <f t="shared" si="5"/>
        <v>5</v>
      </c>
      <c r="K25" s="7" t="s">
        <v>58</v>
      </c>
      <c r="L25" s="7" t="s">
        <v>36</v>
      </c>
      <c r="M25" s="7" t="s">
        <v>36</v>
      </c>
      <c r="N25" s="7" t="s">
        <v>36</v>
      </c>
      <c r="O25" s="7" t="s">
        <v>36</v>
      </c>
      <c r="P25" s="7" t="s">
        <v>36</v>
      </c>
      <c r="Q25" s="7" t="s">
        <v>56</v>
      </c>
      <c r="R25" s="7" t="s">
        <v>58</v>
      </c>
      <c r="S25" s="7" t="s">
        <v>56</v>
      </c>
      <c r="T25" s="7" t="s">
        <v>57</v>
      </c>
      <c r="U25" s="7" t="s">
        <v>36</v>
      </c>
      <c r="V25" s="7" t="s">
        <v>36</v>
      </c>
      <c r="W25" s="7" t="s">
        <v>36</v>
      </c>
      <c r="X25" s="7" t="s">
        <v>56</v>
      </c>
      <c r="Y25" s="7" t="s">
        <v>58</v>
      </c>
      <c r="Z25" s="7" t="s">
        <v>57</v>
      </c>
      <c r="AA25" s="7" t="s">
        <v>36</v>
      </c>
      <c r="AB25" s="7" t="s">
        <v>36</v>
      </c>
      <c r="AC25" s="7" t="s">
        <v>36</v>
      </c>
      <c r="AD25" s="7" t="s">
        <v>36</v>
      </c>
      <c r="AE25" s="7" t="s">
        <v>36</v>
      </c>
      <c r="AF25" s="7" t="s">
        <v>58</v>
      </c>
      <c r="AG25" s="7" t="s">
        <v>36</v>
      </c>
      <c r="AH25" s="7" t="s">
        <v>36</v>
      </c>
      <c r="AI25" s="7" t="s">
        <v>36</v>
      </c>
      <c r="AJ25" s="7" t="s">
        <v>36</v>
      </c>
      <c r="AK25" s="7" t="s">
        <v>36</v>
      </c>
      <c r="AL25" s="7" t="s">
        <v>36</v>
      </c>
      <c r="AM25" s="7" t="s">
        <v>58</v>
      </c>
      <c r="AN25" s="7" t="s">
        <v>56</v>
      </c>
      <c r="AO25" s="7"/>
      <c r="AR25" s="7">
        <v>18</v>
      </c>
      <c r="AS25" s="7" t="s">
        <v>53</v>
      </c>
      <c r="AT25" s="7" t="s">
        <v>67</v>
      </c>
      <c r="AU25" s="7">
        <v>1018</v>
      </c>
      <c r="AV25" s="30">
        <f t="shared" si="2"/>
        <v>19</v>
      </c>
      <c r="AW25" s="30">
        <f t="shared" si="7"/>
        <v>4</v>
      </c>
      <c r="AX25" s="30">
        <f t="shared" si="3"/>
        <v>2</v>
      </c>
      <c r="AY25" s="31">
        <f t="shared" si="4"/>
        <v>5</v>
      </c>
      <c r="AZ25" s="31">
        <f t="shared" si="6"/>
        <v>30</v>
      </c>
      <c r="BA25" s="32">
        <f>Table137[[#This Row],[Days]]-Table137[[#This Row],[Absent]]</f>
        <v>26</v>
      </c>
      <c r="BB25" s="33">
        <v>6200</v>
      </c>
      <c r="BC25" s="36">
        <f>Table137[[#This Row],[Salary]]/Table137[[#This Row],[Days]]</f>
        <v>206.66666666666666</v>
      </c>
      <c r="BD25" s="34">
        <f>Table137[[#This Row],[Per Day Salary]]*Table137[[#This Row],[Absent]]</f>
        <v>826.66666666666663</v>
      </c>
      <c r="BE25" s="33">
        <f>Table137[[#This Row],[Salary]]-Table137[[#This Row],[Deduction ]]</f>
        <v>5373.333333333333</v>
      </c>
    </row>
    <row r="26" spans="7:60" x14ac:dyDescent="0.35">
      <c r="G26" s="7">
        <v>19</v>
      </c>
      <c r="H26" s="27" t="s">
        <v>54</v>
      </c>
      <c r="I26" s="7">
        <v>1019</v>
      </c>
      <c r="J26" s="15">
        <f t="shared" si="5"/>
        <v>5</v>
      </c>
      <c r="K26" s="7" t="s">
        <v>58</v>
      </c>
      <c r="L26" s="7" t="s">
        <v>36</v>
      </c>
      <c r="M26" s="7" t="s">
        <v>36</v>
      </c>
      <c r="N26" s="7" t="s">
        <v>36</v>
      </c>
      <c r="O26" s="7" t="s">
        <v>36</v>
      </c>
      <c r="P26" s="7" t="s">
        <v>36</v>
      </c>
      <c r="Q26" s="7" t="s">
        <v>56</v>
      </c>
      <c r="R26" s="7" t="s">
        <v>58</v>
      </c>
      <c r="S26" s="7" t="s">
        <v>56</v>
      </c>
      <c r="T26" s="7" t="s">
        <v>57</v>
      </c>
      <c r="U26" s="7" t="s">
        <v>36</v>
      </c>
      <c r="V26" s="7" t="s">
        <v>36</v>
      </c>
      <c r="W26" s="7" t="s">
        <v>36</v>
      </c>
      <c r="X26" s="7" t="s">
        <v>56</v>
      </c>
      <c r="Y26" s="7" t="s">
        <v>58</v>
      </c>
      <c r="Z26" s="7" t="s">
        <v>57</v>
      </c>
      <c r="AA26" s="7" t="s">
        <v>36</v>
      </c>
      <c r="AB26" s="7" t="s">
        <v>36</v>
      </c>
      <c r="AC26" s="7" t="s">
        <v>36</v>
      </c>
      <c r="AD26" s="7" t="s">
        <v>36</v>
      </c>
      <c r="AE26" s="7" t="s">
        <v>36</v>
      </c>
      <c r="AF26" s="7" t="s">
        <v>58</v>
      </c>
      <c r="AG26" s="7" t="s">
        <v>36</v>
      </c>
      <c r="AH26" s="7" t="s">
        <v>36</v>
      </c>
      <c r="AI26" s="7" t="s">
        <v>36</v>
      </c>
      <c r="AJ26" s="7" t="s">
        <v>36</v>
      </c>
      <c r="AK26" s="7" t="s">
        <v>36</v>
      </c>
      <c r="AL26" s="7" t="s">
        <v>36</v>
      </c>
      <c r="AM26" s="7" t="s">
        <v>58</v>
      </c>
      <c r="AN26" s="7" t="s">
        <v>56</v>
      </c>
      <c r="AO26" s="7"/>
      <c r="AR26" s="7">
        <v>19</v>
      </c>
      <c r="AS26" s="7" t="s">
        <v>54</v>
      </c>
      <c r="AT26" s="7" t="s">
        <v>67</v>
      </c>
      <c r="AU26" s="7">
        <v>1019</v>
      </c>
      <c r="AV26" s="30">
        <f t="shared" si="2"/>
        <v>19</v>
      </c>
      <c r="AW26" s="30">
        <f t="shared" si="7"/>
        <v>4</v>
      </c>
      <c r="AX26" s="30">
        <f t="shared" si="3"/>
        <v>2</v>
      </c>
      <c r="AY26" s="31">
        <f t="shared" si="4"/>
        <v>5</v>
      </c>
      <c r="AZ26" s="31">
        <f t="shared" si="6"/>
        <v>30</v>
      </c>
      <c r="BA26" s="1">
        <f>Table137[[#This Row],[Days]]-Table137[[#This Row],[Absent]]</f>
        <v>26</v>
      </c>
      <c r="BB26" s="33">
        <v>6300</v>
      </c>
      <c r="BC26" s="36">
        <f>Table137[[#This Row],[Salary]]/Table137[[#This Row],[Days]]</f>
        <v>210</v>
      </c>
      <c r="BD26" s="34">
        <f>Table137[[#This Row],[Per Day Salary]]*Table137[[#This Row],[Absent]]</f>
        <v>840</v>
      </c>
      <c r="BE26" s="33">
        <f>Table137[[#This Row],[Salary]]-Table137[[#This Row],[Deduction ]]</f>
        <v>5460</v>
      </c>
    </row>
    <row r="27" spans="7:60" x14ac:dyDescent="0.35">
      <c r="G27" s="7">
        <v>20</v>
      </c>
      <c r="H27" s="27" t="s">
        <v>55</v>
      </c>
      <c r="I27" s="7">
        <v>1020</v>
      </c>
      <c r="J27" s="15">
        <f t="shared" si="5"/>
        <v>5</v>
      </c>
      <c r="K27" s="7" t="s">
        <v>58</v>
      </c>
      <c r="L27" s="7" t="s">
        <v>36</v>
      </c>
      <c r="M27" s="7" t="s">
        <v>36</v>
      </c>
      <c r="N27" s="7" t="s">
        <v>36</v>
      </c>
      <c r="O27" s="7" t="s">
        <v>36</v>
      </c>
      <c r="P27" s="7" t="s">
        <v>36</v>
      </c>
      <c r="Q27" s="7" t="s">
        <v>56</v>
      </c>
      <c r="R27" s="7" t="s">
        <v>58</v>
      </c>
      <c r="S27" s="7" t="s">
        <v>56</v>
      </c>
      <c r="T27" s="7" t="s">
        <v>57</v>
      </c>
      <c r="U27" s="7" t="s">
        <v>36</v>
      </c>
      <c r="V27" s="7" t="s">
        <v>36</v>
      </c>
      <c r="W27" s="7" t="s">
        <v>36</v>
      </c>
      <c r="X27" s="7" t="s">
        <v>56</v>
      </c>
      <c r="Y27" s="7" t="s">
        <v>58</v>
      </c>
      <c r="Z27" s="7" t="s">
        <v>57</v>
      </c>
      <c r="AA27" s="7" t="s">
        <v>36</v>
      </c>
      <c r="AB27" s="7" t="s">
        <v>36</v>
      </c>
      <c r="AC27" s="7" t="s">
        <v>36</v>
      </c>
      <c r="AD27" s="7" t="s">
        <v>36</v>
      </c>
      <c r="AE27" s="7" t="s">
        <v>36</v>
      </c>
      <c r="AF27" s="7" t="s">
        <v>58</v>
      </c>
      <c r="AG27" s="7" t="s">
        <v>36</v>
      </c>
      <c r="AH27" s="7" t="s">
        <v>36</v>
      </c>
      <c r="AI27" s="7" t="s">
        <v>36</v>
      </c>
      <c r="AJ27" s="7" t="s">
        <v>36</v>
      </c>
      <c r="AK27" s="7" t="s">
        <v>36</v>
      </c>
      <c r="AL27" s="7" t="s">
        <v>36</v>
      </c>
      <c r="AM27" s="7" t="s">
        <v>58</v>
      </c>
      <c r="AN27" s="7" t="s">
        <v>56</v>
      </c>
      <c r="AO27" s="7"/>
      <c r="AR27" s="7">
        <v>20</v>
      </c>
      <c r="AS27" s="7" t="s">
        <v>55</v>
      </c>
      <c r="AT27" s="7" t="s">
        <v>67</v>
      </c>
      <c r="AU27" s="7">
        <v>1020</v>
      </c>
      <c r="AV27" s="30">
        <f t="shared" si="2"/>
        <v>19</v>
      </c>
      <c r="AW27" s="30">
        <f t="shared" si="7"/>
        <v>4</v>
      </c>
      <c r="AX27" s="30">
        <f t="shared" si="3"/>
        <v>2</v>
      </c>
      <c r="AY27" s="31">
        <f t="shared" si="4"/>
        <v>5</v>
      </c>
      <c r="AZ27" s="31">
        <f t="shared" si="6"/>
        <v>30</v>
      </c>
      <c r="BA27" s="32">
        <f>Table137[[#This Row],[Days]]-Table137[[#This Row],[Absent]]</f>
        <v>26</v>
      </c>
      <c r="BB27" s="33">
        <v>6400</v>
      </c>
      <c r="BC27" s="36">
        <f>Table137[[#This Row],[Salary]]/Table137[[#This Row],[Days]]</f>
        <v>213.33333333333334</v>
      </c>
      <c r="BD27" s="34">
        <f>Table137[[#This Row],[Per Day Salary]]*Table137[[#This Row],[Absent]]</f>
        <v>853.33333333333337</v>
      </c>
      <c r="BE27" s="33">
        <f>Table137[[#This Row],[Salary]]-Table137[[#This Row],[Deduction ]]</f>
        <v>5546.666666666667</v>
      </c>
    </row>
    <row r="28" spans="7:60" x14ac:dyDescent="0.35">
      <c r="L28" s="6"/>
      <c r="S28" s="6"/>
    </row>
  </sheetData>
  <mergeCells count="1">
    <mergeCell ref="G6:I6"/>
  </mergeCells>
  <phoneticPr fontId="2" type="noConversion"/>
  <conditionalFormatting sqref="F5">
    <cfRule type="containsText" dxfId="34" priority="4" operator="containsText" text="P">
      <formula>NOT(ISERROR(SEARCH("P",F5)))</formula>
    </cfRule>
  </conditionalFormatting>
  <conditionalFormatting sqref="K8:AO27">
    <cfRule type="containsText" dxfId="33" priority="1" operator="containsText" text="L">
      <formula>NOT(ISERROR(SEARCH("L",K8)))</formula>
    </cfRule>
    <cfRule type="containsText" dxfId="32" priority="2" operator="containsText" text="A">
      <formula>NOT(ISERROR(SEARCH("A",K8)))</formula>
    </cfRule>
    <cfRule type="containsText" dxfId="31" priority="3" operator="containsText" text="P">
      <formula>NOT(ISERROR(SEARCH("P",K8)))</formula>
    </cfRule>
    <cfRule type="containsText" dxfId="30" priority="5" operator="containsText" text="WO">
      <formula>NOT(ISERROR(SEARCH("WO",K8)))</formula>
    </cfRule>
  </conditionalFormatting>
  <dataValidations count="2">
    <dataValidation type="list" allowBlank="1" showInputMessage="1" showErrorMessage="1" sqref="AO8:AO27 P8:Q27 Z8:AE27 AG8:AL27 S8:X27" xr:uid="{2BAA9317-BDBC-4F3D-9ABC-F2067CD1933B}">
      <formula1>"A,L,P"</formula1>
    </dataValidation>
    <dataValidation type="list" allowBlank="1" showInputMessage="1" showErrorMessage="1" sqref="AM8:AM27 AF8:AF27 Y8:Y27 R8:R27" xr:uid="{2894CC5A-F372-43AD-BC97-B8793FF61618}">
      <formula1>"A,L,P,WO"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07743D5-7C9A-4669-98D4-EC2DBBF5AF39}">
          <x14:formula1>
            <xm:f>Sheet1!$J$2:$J$13</xm:f>
          </x14:formula1>
          <xm:sqref>G5</xm:sqref>
        </x14:dataValidation>
        <x14:dataValidation type="list" allowBlank="1" showInputMessage="1" showErrorMessage="1" xr:uid="{53523BAB-0E53-4BCB-868E-7315BA5A9BEB}">
          <x14:formula1>
            <xm:f>Sheet1!$E$2:$E$13</xm:f>
          </x14:formula1>
          <xm:sqref>I5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3988-706B-4B01-B257-E8C302BDBC79}">
  <sheetPr codeName="Sheet8"/>
  <dimension ref="F4:BN28"/>
  <sheetViews>
    <sheetView showGridLines="0" zoomScale="60" zoomScaleNormal="60" workbookViewId="0">
      <selection activeCell="H13" sqref="H13"/>
    </sheetView>
  </sheetViews>
  <sheetFormatPr defaultRowHeight="14.5" x14ac:dyDescent="0.35"/>
  <cols>
    <col min="7" max="7" width="12.54296875" bestFit="1" customWidth="1"/>
    <col min="8" max="8" width="11.7265625" bestFit="1" customWidth="1"/>
    <col min="9" max="9" width="12.26953125" customWidth="1"/>
    <col min="10" max="10" width="8.453125" bestFit="1" customWidth="1"/>
    <col min="11" max="11" width="3.453125" bestFit="1" customWidth="1"/>
    <col min="12" max="12" width="3.7265625" bestFit="1" customWidth="1"/>
    <col min="13" max="13" width="5.54296875" customWidth="1"/>
    <col min="14" max="14" width="3.7265625" bestFit="1" customWidth="1"/>
    <col min="15" max="15" width="4.453125" bestFit="1" customWidth="1"/>
    <col min="16" max="16" width="3.7265625" bestFit="1" customWidth="1"/>
    <col min="17" max="17" width="2.81640625" bestFit="1" customWidth="1"/>
    <col min="18" max="18" width="3.453125" bestFit="1" customWidth="1"/>
    <col min="19" max="19" width="3.7265625" bestFit="1" customWidth="1"/>
    <col min="20" max="20" width="4.453125" bestFit="1" customWidth="1"/>
    <col min="21" max="21" width="3.7265625" bestFit="1" customWidth="1"/>
    <col min="22" max="22" width="4.453125" bestFit="1" customWidth="1"/>
    <col min="23" max="23" width="3.7265625" bestFit="1" customWidth="1"/>
    <col min="24" max="24" width="2.81640625" bestFit="1" customWidth="1"/>
    <col min="25" max="25" width="3.453125" bestFit="1" customWidth="1"/>
    <col min="26" max="26" width="3.7265625" bestFit="1" customWidth="1"/>
    <col min="27" max="27" width="4.453125" bestFit="1" customWidth="1"/>
    <col min="28" max="28" width="3.7265625" bestFit="1" customWidth="1"/>
    <col min="29" max="29" width="4.453125" bestFit="1" customWidth="1"/>
    <col min="30" max="30" width="3.7265625" bestFit="1" customWidth="1"/>
    <col min="31" max="31" width="2.81640625" bestFit="1" customWidth="1"/>
    <col min="32" max="32" width="3.453125" bestFit="1" customWidth="1"/>
    <col min="33" max="33" width="3.7265625" bestFit="1" customWidth="1"/>
    <col min="34" max="34" width="4.453125" bestFit="1" customWidth="1"/>
    <col min="35" max="35" width="3.7265625" bestFit="1" customWidth="1"/>
    <col min="36" max="36" width="4.453125" bestFit="1" customWidth="1"/>
    <col min="37" max="37" width="3.7265625" bestFit="1" customWidth="1"/>
    <col min="38" max="38" width="2.81640625" bestFit="1" customWidth="1"/>
    <col min="39" max="39" width="3.453125" bestFit="1" customWidth="1"/>
    <col min="40" max="40" width="4.1796875" bestFit="1" customWidth="1"/>
    <col min="41" max="41" width="5.08984375" customWidth="1"/>
    <col min="45" max="46" width="10.453125" customWidth="1"/>
    <col min="47" max="47" width="12.81640625" customWidth="1"/>
    <col min="48" max="48" width="9.453125" customWidth="1"/>
    <col min="49" max="49" width="8.90625" customWidth="1"/>
    <col min="51" max="51" width="10.453125" customWidth="1"/>
    <col min="53" max="53" width="10.7265625" customWidth="1"/>
    <col min="54" max="54" width="10.7265625" bestFit="1" customWidth="1"/>
    <col min="55" max="55" width="14.36328125" customWidth="1"/>
    <col min="56" max="56" width="12" customWidth="1"/>
    <col min="57" max="57" width="12.54296875" customWidth="1"/>
  </cols>
  <sheetData>
    <row r="4" spans="6:66" x14ac:dyDescent="0.35">
      <c r="F4" s="21"/>
      <c r="G4" s="21"/>
      <c r="H4" s="21"/>
      <c r="I4" s="22">
        <f>G5</f>
        <v>45839</v>
      </c>
      <c r="J4" s="21"/>
      <c r="K4" s="21"/>
      <c r="L4" s="21"/>
    </row>
    <row r="5" spans="6:66" ht="15" thickBot="1" x14ac:dyDescent="0.4">
      <c r="F5" s="21" t="s">
        <v>23</v>
      </c>
      <c r="G5" s="26">
        <v>45839</v>
      </c>
      <c r="H5" s="24">
        <f>G5</f>
        <v>45839</v>
      </c>
      <c r="I5" s="24"/>
      <c r="J5" s="21"/>
      <c r="K5" s="21"/>
      <c r="L5" s="21" t="s">
        <v>25</v>
      </c>
      <c r="M5" s="23">
        <f>EOMONTH(G5,0)</f>
        <v>45869</v>
      </c>
      <c r="O5" s="3"/>
    </row>
    <row r="6" spans="6:66" ht="16.5" thickBot="1" x14ac:dyDescent="0.45">
      <c r="G6" s="50" t="s">
        <v>27</v>
      </c>
      <c r="H6" s="51"/>
      <c r="I6" s="52"/>
      <c r="J6" s="11" t="s">
        <v>26</v>
      </c>
      <c r="K6" s="12" t="str">
        <f>TEXT(K7,"ddd")</f>
        <v>Tue</v>
      </c>
      <c r="L6" s="12" t="str">
        <f t="shared" ref="L6:AN6" si="0">TEXT(L7,"ddd")</f>
        <v>Wed</v>
      </c>
      <c r="M6" s="12" t="str">
        <f t="shared" si="0"/>
        <v>Thu</v>
      </c>
      <c r="N6" s="12" t="str">
        <f t="shared" si="0"/>
        <v>Fri</v>
      </c>
      <c r="O6" s="12" t="str">
        <f t="shared" si="0"/>
        <v>Sat</v>
      </c>
      <c r="P6" s="12" t="str">
        <f t="shared" si="0"/>
        <v>Sun</v>
      </c>
      <c r="Q6" s="12" t="str">
        <f t="shared" si="0"/>
        <v>Mon</v>
      </c>
      <c r="R6" s="12" t="str">
        <f t="shared" si="0"/>
        <v>Tue</v>
      </c>
      <c r="S6" s="12" t="str">
        <f t="shared" si="0"/>
        <v>Wed</v>
      </c>
      <c r="T6" s="12" t="str">
        <f t="shared" si="0"/>
        <v>Thu</v>
      </c>
      <c r="U6" s="12" t="str">
        <f t="shared" si="0"/>
        <v>Fri</v>
      </c>
      <c r="V6" s="12" t="str">
        <f t="shared" si="0"/>
        <v>Sat</v>
      </c>
      <c r="W6" s="12" t="str">
        <f t="shared" si="0"/>
        <v>Sun</v>
      </c>
      <c r="X6" s="12" t="str">
        <f t="shared" si="0"/>
        <v>Mon</v>
      </c>
      <c r="Y6" s="12" t="str">
        <f t="shared" si="0"/>
        <v>Tue</v>
      </c>
      <c r="Z6" s="12" t="str">
        <f t="shared" si="0"/>
        <v>Wed</v>
      </c>
      <c r="AA6" s="12" t="str">
        <f t="shared" si="0"/>
        <v>Thu</v>
      </c>
      <c r="AB6" s="12" t="str">
        <f t="shared" si="0"/>
        <v>Fri</v>
      </c>
      <c r="AC6" s="12" t="str">
        <f t="shared" si="0"/>
        <v>Sat</v>
      </c>
      <c r="AD6" s="12" t="str">
        <f t="shared" si="0"/>
        <v>Sun</v>
      </c>
      <c r="AE6" s="12" t="str">
        <f t="shared" si="0"/>
        <v>Mon</v>
      </c>
      <c r="AF6" s="12" t="str">
        <f t="shared" si="0"/>
        <v>Tue</v>
      </c>
      <c r="AG6" s="12" t="str">
        <f t="shared" si="0"/>
        <v>Wed</v>
      </c>
      <c r="AH6" s="12" t="str">
        <f t="shared" si="0"/>
        <v>Thu</v>
      </c>
      <c r="AI6" s="12" t="str">
        <f t="shared" si="0"/>
        <v>Fri</v>
      </c>
      <c r="AJ6" s="12" t="str">
        <f t="shared" si="0"/>
        <v>Sat</v>
      </c>
      <c r="AK6" s="12" t="str">
        <f t="shared" si="0"/>
        <v>Sun</v>
      </c>
      <c r="AL6" s="12" t="str">
        <f t="shared" si="0"/>
        <v>Mon</v>
      </c>
      <c r="AM6" s="13" t="str">
        <f t="shared" si="0"/>
        <v>Tue</v>
      </c>
      <c r="AN6" s="13" t="str">
        <f t="shared" si="0"/>
        <v>Wed</v>
      </c>
      <c r="AO6" s="14" t="str">
        <f>TEXT(AO7,"ddd")</f>
        <v>Thu</v>
      </c>
    </row>
    <row r="7" spans="6:66" ht="14.25" customHeight="1" x14ac:dyDescent="0.35">
      <c r="G7" s="25" t="s">
        <v>0</v>
      </c>
      <c r="H7" s="25" t="s">
        <v>1</v>
      </c>
      <c r="I7" s="25" t="s">
        <v>2</v>
      </c>
      <c r="J7" s="8" t="s">
        <v>24</v>
      </c>
      <c r="K7" s="9">
        <f>G5</f>
        <v>45839</v>
      </c>
      <c r="L7" s="9">
        <f>IF(K7&lt;$M$5,1+K7,"")</f>
        <v>45840</v>
      </c>
      <c r="M7" s="9">
        <f t="shared" ref="M7:AL7" si="1">IF(L7&lt;$M$5,1+L7,"")</f>
        <v>45841</v>
      </c>
      <c r="N7" s="9">
        <f t="shared" si="1"/>
        <v>45842</v>
      </c>
      <c r="O7" s="9">
        <f t="shared" si="1"/>
        <v>45843</v>
      </c>
      <c r="P7" s="9">
        <f t="shared" si="1"/>
        <v>45844</v>
      </c>
      <c r="Q7" s="9">
        <f t="shared" si="1"/>
        <v>45845</v>
      </c>
      <c r="R7" s="9">
        <f t="shared" si="1"/>
        <v>45846</v>
      </c>
      <c r="S7" s="9">
        <f t="shared" si="1"/>
        <v>45847</v>
      </c>
      <c r="T7" s="9">
        <f t="shared" si="1"/>
        <v>45848</v>
      </c>
      <c r="U7" s="9">
        <f t="shared" si="1"/>
        <v>45849</v>
      </c>
      <c r="V7" s="9">
        <f t="shared" si="1"/>
        <v>45850</v>
      </c>
      <c r="W7" s="9">
        <f t="shared" si="1"/>
        <v>45851</v>
      </c>
      <c r="X7" s="9">
        <f t="shared" si="1"/>
        <v>45852</v>
      </c>
      <c r="Y7" s="9">
        <f t="shared" si="1"/>
        <v>45853</v>
      </c>
      <c r="Z7" s="9">
        <f t="shared" si="1"/>
        <v>45854</v>
      </c>
      <c r="AA7" s="9">
        <f>IF(Z7&lt;$M$5,1+Z7,"")</f>
        <v>45855</v>
      </c>
      <c r="AB7" s="9">
        <f t="shared" si="1"/>
        <v>45856</v>
      </c>
      <c r="AC7" s="9">
        <f t="shared" si="1"/>
        <v>45857</v>
      </c>
      <c r="AD7" s="9">
        <f t="shared" si="1"/>
        <v>45858</v>
      </c>
      <c r="AE7" s="9">
        <f t="shared" si="1"/>
        <v>45859</v>
      </c>
      <c r="AF7" s="9">
        <f t="shared" si="1"/>
        <v>45860</v>
      </c>
      <c r="AG7" s="9">
        <f t="shared" si="1"/>
        <v>45861</v>
      </c>
      <c r="AH7" s="9">
        <f t="shared" si="1"/>
        <v>45862</v>
      </c>
      <c r="AI7" s="9">
        <f t="shared" si="1"/>
        <v>45863</v>
      </c>
      <c r="AJ7" s="9">
        <f t="shared" si="1"/>
        <v>45864</v>
      </c>
      <c r="AK7" s="9">
        <f t="shared" si="1"/>
        <v>45865</v>
      </c>
      <c r="AL7" s="9">
        <f t="shared" si="1"/>
        <v>45866</v>
      </c>
      <c r="AM7" s="9">
        <f>IF(AL7&lt;$M$5,1+AL7,"")</f>
        <v>45867</v>
      </c>
      <c r="AN7" s="9">
        <f>IF(AM7&lt;$M$5,1+AM7,"")</f>
        <v>45868</v>
      </c>
      <c r="AO7" s="10">
        <f>IF(AN7&lt;$M$5,1+AN7,"")</f>
        <v>45869</v>
      </c>
      <c r="AP7" s="5"/>
      <c r="AQ7" s="5"/>
      <c r="AR7" s="18" t="s">
        <v>0</v>
      </c>
      <c r="AS7" s="18" t="s">
        <v>1</v>
      </c>
      <c r="AT7" s="18" t="s">
        <v>72</v>
      </c>
      <c r="AU7" s="18" t="s">
        <v>2</v>
      </c>
      <c r="AV7" s="17" t="s">
        <v>28</v>
      </c>
      <c r="AW7" s="17" t="s">
        <v>29</v>
      </c>
      <c r="AX7" s="17" t="s">
        <v>30</v>
      </c>
      <c r="AY7" s="17" t="s">
        <v>24</v>
      </c>
      <c r="AZ7" s="17" t="s">
        <v>26</v>
      </c>
      <c r="BA7" s="17" t="s">
        <v>31</v>
      </c>
      <c r="BB7" s="17" t="s">
        <v>32</v>
      </c>
      <c r="BC7" s="17" t="s">
        <v>33</v>
      </c>
      <c r="BD7" s="17" t="s">
        <v>34</v>
      </c>
      <c r="BE7" s="17" t="s">
        <v>35</v>
      </c>
      <c r="BF7" s="16"/>
      <c r="BG7" s="5"/>
      <c r="BH7" s="5"/>
      <c r="BI7" s="5"/>
      <c r="BJ7" s="5"/>
      <c r="BK7" s="5"/>
      <c r="BL7" s="5"/>
      <c r="BM7" s="5"/>
      <c r="BN7" s="5"/>
    </row>
    <row r="8" spans="6:66" ht="14.25" customHeight="1" x14ac:dyDescent="0.35">
      <c r="G8" s="7">
        <v>1</v>
      </c>
      <c r="H8" s="27" t="s">
        <v>37</v>
      </c>
      <c r="I8" s="7">
        <v>1001</v>
      </c>
      <c r="J8" s="15">
        <f>COUNTIF(K$6:AO$6,"Sun")</f>
        <v>4</v>
      </c>
      <c r="K8" s="7" t="s">
        <v>36</v>
      </c>
      <c r="L8" s="7" t="s">
        <v>36</v>
      </c>
      <c r="M8" s="7" t="s">
        <v>36</v>
      </c>
      <c r="N8" s="7" t="s">
        <v>36</v>
      </c>
      <c r="O8" s="7" t="s">
        <v>36</v>
      </c>
      <c r="P8" s="7" t="s">
        <v>58</v>
      </c>
      <c r="Q8" s="7" t="s">
        <v>56</v>
      </c>
      <c r="R8" s="7" t="s">
        <v>56</v>
      </c>
      <c r="S8" s="7" t="s">
        <v>56</v>
      </c>
      <c r="T8" s="7" t="s">
        <v>57</v>
      </c>
      <c r="U8" s="7" t="s">
        <v>36</v>
      </c>
      <c r="V8" s="7" t="s">
        <v>36</v>
      </c>
      <c r="W8" s="7" t="s">
        <v>58</v>
      </c>
      <c r="X8" s="7" t="s">
        <v>56</v>
      </c>
      <c r="Y8" s="7" t="s">
        <v>56</v>
      </c>
      <c r="Z8" s="7" t="s">
        <v>57</v>
      </c>
      <c r="AA8" s="7" t="s">
        <v>36</v>
      </c>
      <c r="AB8" s="7" t="s">
        <v>36</v>
      </c>
      <c r="AC8" s="7" t="s">
        <v>36</v>
      </c>
      <c r="AD8" s="7" t="str">
        <f t="shared" ref="AD8:AK16" si="2">IF(AD$6="Sun","WO","")</f>
        <v>WO</v>
      </c>
      <c r="AE8" s="7" t="s">
        <v>36</v>
      </c>
      <c r="AF8" s="7" t="s">
        <v>36</v>
      </c>
      <c r="AG8" s="7" t="s">
        <v>36</v>
      </c>
      <c r="AH8" s="7" t="s">
        <v>36</v>
      </c>
      <c r="AI8" s="7" t="s">
        <v>36</v>
      </c>
      <c r="AJ8" s="7" t="s">
        <v>36</v>
      </c>
      <c r="AK8" s="7" t="str">
        <f t="shared" si="2"/>
        <v>WO</v>
      </c>
      <c r="AL8" s="7" t="s">
        <v>36</v>
      </c>
      <c r="AM8" s="7" t="s">
        <v>56</v>
      </c>
      <c r="AN8" s="7" t="s">
        <v>56</v>
      </c>
      <c r="AO8" s="7" t="s">
        <v>57</v>
      </c>
      <c r="AP8" s="5"/>
      <c r="AQ8" s="5"/>
      <c r="AR8" s="7">
        <v>1</v>
      </c>
      <c r="AS8" s="29" t="s">
        <v>37</v>
      </c>
      <c r="AT8" s="7" t="s">
        <v>68</v>
      </c>
      <c r="AU8" s="7">
        <v>1001</v>
      </c>
      <c r="AV8" s="30">
        <f t="shared" ref="AV8:AV27" si="3">COUNTIF($K8:$AO8,"P")</f>
        <v>17</v>
      </c>
      <c r="AW8" s="30">
        <f>COUNTIF($K8:$AO8,"A")</f>
        <v>7</v>
      </c>
      <c r="AX8" s="30">
        <f t="shared" ref="AX8:AX27" si="4">COUNTIF($K8:$AO8,"L")</f>
        <v>3</v>
      </c>
      <c r="AY8" s="31">
        <f t="shared" ref="AY8:AY27" si="5">COUNTIF($K8:$AO8,"WO")</f>
        <v>4</v>
      </c>
      <c r="AZ8" s="31">
        <f>($M$5-$H$5)+1</f>
        <v>31</v>
      </c>
      <c r="BA8" s="32">
        <f>Table138[[#This Row],[Days]]-Table138[[#This Row],[Absent]]</f>
        <v>24</v>
      </c>
      <c r="BB8" s="33">
        <v>4500</v>
      </c>
      <c r="BC8" s="36">
        <f>Table138[[#This Row],[Salary]]/Table138[[#This Row],[Days]]</f>
        <v>145.16129032258064</v>
      </c>
      <c r="BD8" s="34">
        <f>Table138[[#This Row],[Per Day Salary]]*Table138[[#This Row],[Absent]]</f>
        <v>1016.1290322580645</v>
      </c>
      <c r="BE8" s="33">
        <f>Table138[[#This Row],[Salary]]-Table138[[#This Row],[Deduction ]]</f>
        <v>3483.8709677419356</v>
      </c>
      <c r="BF8" s="5"/>
      <c r="BG8" s="5"/>
      <c r="BH8" s="5"/>
      <c r="BI8" s="5"/>
      <c r="BJ8" s="5"/>
      <c r="BK8" s="5"/>
      <c r="BL8" s="5"/>
    </row>
    <row r="9" spans="6:66" x14ac:dyDescent="0.35">
      <c r="G9" s="7">
        <v>2</v>
      </c>
      <c r="H9" s="27" t="s">
        <v>38</v>
      </c>
      <c r="I9" s="7">
        <v>1002</v>
      </c>
      <c r="J9" s="15">
        <f t="shared" ref="J9:J27" si="6">COUNTIF(K$6:AO$6,"Sun")</f>
        <v>4</v>
      </c>
      <c r="K9" s="7" t="s">
        <v>36</v>
      </c>
      <c r="L9" s="7" t="s">
        <v>36</v>
      </c>
      <c r="M9" s="7" t="s">
        <v>36</v>
      </c>
      <c r="N9" s="7" t="s">
        <v>36</v>
      </c>
      <c r="O9" s="7" t="s">
        <v>36</v>
      </c>
      <c r="P9" s="7" t="s">
        <v>58</v>
      </c>
      <c r="Q9" s="7" t="s">
        <v>56</v>
      </c>
      <c r="R9" s="7" t="s">
        <v>56</v>
      </c>
      <c r="S9" s="7" t="s">
        <v>56</v>
      </c>
      <c r="T9" s="7" t="s">
        <v>57</v>
      </c>
      <c r="U9" s="7" t="s">
        <v>36</v>
      </c>
      <c r="V9" s="7" t="s">
        <v>36</v>
      </c>
      <c r="W9" s="7" t="s">
        <v>58</v>
      </c>
      <c r="X9" s="7" t="s">
        <v>56</v>
      </c>
      <c r="Y9" s="7" t="s">
        <v>56</v>
      </c>
      <c r="Z9" s="7" t="s">
        <v>57</v>
      </c>
      <c r="AA9" s="7" t="s">
        <v>36</v>
      </c>
      <c r="AB9" s="7" t="s">
        <v>36</v>
      </c>
      <c r="AC9" s="7" t="s">
        <v>36</v>
      </c>
      <c r="AD9" s="7" t="str">
        <f t="shared" si="2"/>
        <v>WO</v>
      </c>
      <c r="AE9" s="7" t="s">
        <v>36</v>
      </c>
      <c r="AF9" s="7" t="s">
        <v>36</v>
      </c>
      <c r="AG9" s="7" t="s">
        <v>36</v>
      </c>
      <c r="AH9" s="7" t="s">
        <v>36</v>
      </c>
      <c r="AI9" s="7" t="s">
        <v>36</v>
      </c>
      <c r="AJ9" s="7" t="s">
        <v>36</v>
      </c>
      <c r="AK9" s="7" t="str">
        <f t="shared" si="2"/>
        <v>WO</v>
      </c>
      <c r="AL9" s="7" t="s">
        <v>36</v>
      </c>
      <c r="AM9" s="7" t="s">
        <v>56</v>
      </c>
      <c r="AN9" s="7" t="s">
        <v>56</v>
      </c>
      <c r="AO9" s="7" t="s">
        <v>57</v>
      </c>
      <c r="AP9" s="5"/>
      <c r="AQ9" s="5"/>
      <c r="AR9" s="7">
        <v>2</v>
      </c>
      <c r="AS9" s="7" t="s">
        <v>38</v>
      </c>
      <c r="AT9" s="7" t="s">
        <v>68</v>
      </c>
      <c r="AU9" s="7">
        <v>1002</v>
      </c>
      <c r="AV9" s="30">
        <f t="shared" si="3"/>
        <v>17</v>
      </c>
      <c r="AW9" s="30">
        <f>COUNTIF($K9:$AO9,"A")</f>
        <v>7</v>
      </c>
      <c r="AX9" s="35">
        <f t="shared" si="4"/>
        <v>3</v>
      </c>
      <c r="AY9" s="31">
        <f t="shared" si="5"/>
        <v>4</v>
      </c>
      <c r="AZ9" s="31">
        <f t="shared" ref="AZ9:AZ27" si="7">($M$5-$H$5)+1</f>
        <v>31</v>
      </c>
      <c r="BA9" s="32">
        <f>Table138[[#This Row],[Days]]-Table138[[#This Row],[Absent]]</f>
        <v>24</v>
      </c>
      <c r="BB9" s="33">
        <v>4600</v>
      </c>
      <c r="BC9" s="36">
        <f>Table138[[#This Row],[Salary]]/Table138[[#This Row],[Days]]</f>
        <v>148.38709677419354</v>
      </c>
      <c r="BD9" s="34">
        <f>Table138[[#This Row],[Per Day Salary]]*Table138[[#This Row],[Absent]]</f>
        <v>1038.7096774193546</v>
      </c>
      <c r="BE9" s="33">
        <f>Table138[[#This Row],[Salary]]-Table138[[#This Row],[Deduction ]]</f>
        <v>3561.2903225806454</v>
      </c>
      <c r="BF9" s="5"/>
      <c r="BG9" s="5"/>
      <c r="BH9" s="5"/>
      <c r="BI9" s="5"/>
      <c r="BJ9" s="5"/>
      <c r="BK9" s="5"/>
      <c r="BL9" s="5"/>
    </row>
    <row r="10" spans="6:66" x14ac:dyDescent="0.35">
      <c r="G10" s="7">
        <v>3</v>
      </c>
      <c r="H10" s="27" t="s">
        <v>39</v>
      </c>
      <c r="I10" s="7">
        <v>1003</v>
      </c>
      <c r="J10" s="15">
        <f t="shared" si="6"/>
        <v>4</v>
      </c>
      <c r="K10" s="7" t="s">
        <v>36</v>
      </c>
      <c r="L10" s="7" t="s">
        <v>36</v>
      </c>
      <c r="M10" s="7" t="s">
        <v>36</v>
      </c>
      <c r="N10" s="7" t="s">
        <v>36</v>
      </c>
      <c r="O10" s="7" t="s">
        <v>36</v>
      </c>
      <c r="P10" s="7" t="s">
        <v>58</v>
      </c>
      <c r="Q10" s="7" t="s">
        <v>56</v>
      </c>
      <c r="R10" s="7" t="s">
        <v>56</v>
      </c>
      <c r="S10" s="7" t="s">
        <v>56</v>
      </c>
      <c r="T10" s="7" t="s">
        <v>57</v>
      </c>
      <c r="U10" s="7" t="s">
        <v>36</v>
      </c>
      <c r="V10" s="7" t="s">
        <v>36</v>
      </c>
      <c r="W10" s="7" t="s">
        <v>58</v>
      </c>
      <c r="X10" s="7" t="s">
        <v>56</v>
      </c>
      <c r="Y10" s="7" t="s">
        <v>56</v>
      </c>
      <c r="Z10" s="7" t="s">
        <v>57</v>
      </c>
      <c r="AA10" s="7" t="s">
        <v>36</v>
      </c>
      <c r="AB10" s="7" t="s">
        <v>36</v>
      </c>
      <c r="AC10" s="7" t="s">
        <v>36</v>
      </c>
      <c r="AD10" s="7" t="str">
        <f t="shared" si="2"/>
        <v>WO</v>
      </c>
      <c r="AE10" s="7" t="s">
        <v>36</v>
      </c>
      <c r="AF10" s="7" t="s">
        <v>36</v>
      </c>
      <c r="AG10" s="7" t="s">
        <v>36</v>
      </c>
      <c r="AH10" s="7" t="s">
        <v>36</v>
      </c>
      <c r="AI10" s="7" t="s">
        <v>36</v>
      </c>
      <c r="AJ10" s="7" t="s">
        <v>36</v>
      </c>
      <c r="AK10" s="7" t="str">
        <f t="shared" si="2"/>
        <v>WO</v>
      </c>
      <c r="AL10" s="7" t="s">
        <v>36</v>
      </c>
      <c r="AM10" s="7" t="s">
        <v>56</v>
      </c>
      <c r="AN10" s="7" t="s">
        <v>56</v>
      </c>
      <c r="AO10" s="7" t="s">
        <v>57</v>
      </c>
      <c r="AP10" s="5"/>
      <c r="AQ10" s="5"/>
      <c r="AR10" s="7">
        <v>3</v>
      </c>
      <c r="AS10" s="7" t="s">
        <v>39</v>
      </c>
      <c r="AT10" s="7" t="s">
        <v>68</v>
      </c>
      <c r="AU10" s="7">
        <v>1003</v>
      </c>
      <c r="AV10" s="30">
        <f t="shared" si="3"/>
        <v>17</v>
      </c>
      <c r="AW10" s="30">
        <f t="shared" ref="AW10:AW27" si="8">COUNTIF($K10:$AO10,"A")</f>
        <v>7</v>
      </c>
      <c r="AX10" s="30">
        <f t="shared" si="4"/>
        <v>3</v>
      </c>
      <c r="AY10" s="31">
        <f t="shared" si="5"/>
        <v>4</v>
      </c>
      <c r="AZ10" s="31">
        <f t="shared" si="7"/>
        <v>31</v>
      </c>
      <c r="BA10" s="32">
        <f>Table138[[#This Row],[Days]]-Table138[[#This Row],[Absent]]</f>
        <v>24</v>
      </c>
      <c r="BB10" s="33">
        <v>4700</v>
      </c>
      <c r="BC10" s="36">
        <f>Table138[[#This Row],[Salary]]/Table138[[#This Row],[Days]]</f>
        <v>151.61290322580646</v>
      </c>
      <c r="BD10" s="34">
        <f>Table138[[#This Row],[Per Day Salary]]*Table138[[#This Row],[Absent]]</f>
        <v>1061.2903225806454</v>
      </c>
      <c r="BE10" s="33">
        <f>Table138[[#This Row],[Salary]]-Table138[[#This Row],[Deduction ]]</f>
        <v>3638.7096774193546</v>
      </c>
      <c r="BF10" s="5"/>
      <c r="BG10" s="5"/>
      <c r="BH10" s="5"/>
      <c r="BI10" s="5"/>
      <c r="BJ10" s="5"/>
      <c r="BK10" s="5"/>
      <c r="BL10" s="5"/>
    </row>
    <row r="11" spans="6:66" x14ac:dyDescent="0.35">
      <c r="G11" s="7">
        <v>4</v>
      </c>
      <c r="H11" s="27" t="s">
        <v>59</v>
      </c>
      <c r="I11" s="7">
        <v>1004</v>
      </c>
      <c r="J11" s="15">
        <f t="shared" si="6"/>
        <v>4</v>
      </c>
      <c r="K11" s="7" t="s">
        <v>36</v>
      </c>
      <c r="L11" s="7" t="s">
        <v>36</v>
      </c>
      <c r="M11" s="7" t="s">
        <v>36</v>
      </c>
      <c r="N11" s="7" t="s">
        <v>36</v>
      </c>
      <c r="O11" s="7" t="s">
        <v>36</v>
      </c>
      <c r="P11" s="7" t="s">
        <v>58</v>
      </c>
      <c r="Q11" s="7" t="s">
        <v>56</v>
      </c>
      <c r="R11" s="7" t="s">
        <v>56</v>
      </c>
      <c r="S11" s="7" t="s">
        <v>56</v>
      </c>
      <c r="T11" s="7" t="s">
        <v>57</v>
      </c>
      <c r="U11" s="7" t="s">
        <v>36</v>
      </c>
      <c r="V11" s="7" t="s">
        <v>36</v>
      </c>
      <c r="W11" s="7" t="s">
        <v>58</v>
      </c>
      <c r="X11" s="7" t="s">
        <v>56</v>
      </c>
      <c r="Y11" s="7" t="s">
        <v>56</v>
      </c>
      <c r="Z11" s="7" t="s">
        <v>57</v>
      </c>
      <c r="AA11" s="7" t="s">
        <v>36</v>
      </c>
      <c r="AB11" s="7" t="s">
        <v>36</v>
      </c>
      <c r="AC11" s="7" t="s">
        <v>36</v>
      </c>
      <c r="AD11" s="7" t="str">
        <f t="shared" si="2"/>
        <v>WO</v>
      </c>
      <c r="AE11" s="7" t="s">
        <v>36</v>
      </c>
      <c r="AF11" s="7" t="s">
        <v>36</v>
      </c>
      <c r="AG11" s="7" t="s">
        <v>36</v>
      </c>
      <c r="AH11" s="7" t="s">
        <v>36</v>
      </c>
      <c r="AI11" s="7" t="s">
        <v>36</v>
      </c>
      <c r="AJ11" s="7" t="s">
        <v>36</v>
      </c>
      <c r="AK11" s="7" t="str">
        <f t="shared" si="2"/>
        <v>WO</v>
      </c>
      <c r="AL11" s="7" t="s">
        <v>36</v>
      </c>
      <c r="AM11" s="7" t="s">
        <v>56</v>
      </c>
      <c r="AN11" s="7" t="s">
        <v>56</v>
      </c>
      <c r="AO11" s="7" t="s">
        <v>57</v>
      </c>
      <c r="AP11" s="5"/>
      <c r="AQ11" s="5"/>
      <c r="AR11" s="7">
        <v>4</v>
      </c>
      <c r="AS11" s="7" t="s">
        <v>59</v>
      </c>
      <c r="AT11" s="7" t="s">
        <v>68</v>
      </c>
      <c r="AU11" s="7">
        <v>1004</v>
      </c>
      <c r="AV11" s="30">
        <f t="shared" si="3"/>
        <v>17</v>
      </c>
      <c r="AW11" s="30">
        <f t="shared" si="8"/>
        <v>7</v>
      </c>
      <c r="AX11" s="30">
        <f t="shared" si="4"/>
        <v>3</v>
      </c>
      <c r="AY11" s="31">
        <f t="shared" si="5"/>
        <v>4</v>
      </c>
      <c r="AZ11" s="31">
        <f t="shared" si="7"/>
        <v>31</v>
      </c>
      <c r="BA11" s="32">
        <f>Table138[[#This Row],[Days]]-Table138[[#This Row],[Absent]]</f>
        <v>24</v>
      </c>
      <c r="BB11" s="33">
        <v>4800</v>
      </c>
      <c r="BC11" s="36">
        <f>Table138[[#This Row],[Salary]]/Table138[[#This Row],[Days]]</f>
        <v>154.83870967741936</v>
      </c>
      <c r="BD11" s="34">
        <f>Table138[[#This Row],[Per Day Salary]]*Table138[[#This Row],[Absent]]</f>
        <v>1083.8709677419356</v>
      </c>
      <c r="BE11" s="33">
        <f>Table138[[#This Row],[Salary]]-Table138[[#This Row],[Deduction ]]</f>
        <v>3716.1290322580644</v>
      </c>
      <c r="BF11" s="5"/>
      <c r="BG11" s="5"/>
      <c r="BH11" s="5"/>
      <c r="BI11" s="5"/>
      <c r="BJ11" s="5"/>
      <c r="BK11" s="5"/>
      <c r="BL11" s="5"/>
    </row>
    <row r="12" spans="6:66" x14ac:dyDescent="0.35">
      <c r="G12" s="7">
        <v>5</v>
      </c>
      <c r="H12" s="27" t="s">
        <v>40</v>
      </c>
      <c r="I12" s="7">
        <v>1005</v>
      </c>
      <c r="J12" s="15">
        <f t="shared" si="6"/>
        <v>4</v>
      </c>
      <c r="K12" s="7" t="s">
        <v>36</v>
      </c>
      <c r="L12" s="7" t="s">
        <v>36</v>
      </c>
      <c r="M12" s="7" t="s">
        <v>36</v>
      </c>
      <c r="N12" s="7" t="s">
        <v>36</v>
      </c>
      <c r="O12" s="7" t="s">
        <v>36</v>
      </c>
      <c r="P12" s="7" t="s">
        <v>58</v>
      </c>
      <c r="Q12" s="7" t="s">
        <v>56</v>
      </c>
      <c r="R12" s="7" t="s">
        <v>56</v>
      </c>
      <c r="S12" s="7" t="s">
        <v>56</v>
      </c>
      <c r="T12" s="7" t="s">
        <v>57</v>
      </c>
      <c r="U12" s="7" t="s">
        <v>36</v>
      </c>
      <c r="V12" s="7" t="s">
        <v>36</v>
      </c>
      <c r="W12" s="7" t="s">
        <v>58</v>
      </c>
      <c r="X12" s="7" t="s">
        <v>56</v>
      </c>
      <c r="Y12" s="7" t="s">
        <v>56</v>
      </c>
      <c r="Z12" s="7" t="s">
        <v>57</v>
      </c>
      <c r="AA12" s="7" t="s">
        <v>36</v>
      </c>
      <c r="AB12" s="7" t="s">
        <v>36</v>
      </c>
      <c r="AC12" s="7" t="s">
        <v>36</v>
      </c>
      <c r="AD12" s="7" t="str">
        <f t="shared" si="2"/>
        <v>WO</v>
      </c>
      <c r="AE12" s="7" t="s">
        <v>36</v>
      </c>
      <c r="AF12" s="7" t="s">
        <v>36</v>
      </c>
      <c r="AG12" s="7" t="s">
        <v>36</v>
      </c>
      <c r="AH12" s="7" t="s">
        <v>36</v>
      </c>
      <c r="AI12" s="7" t="s">
        <v>36</v>
      </c>
      <c r="AJ12" s="7" t="s">
        <v>36</v>
      </c>
      <c r="AK12" s="7" t="str">
        <f t="shared" si="2"/>
        <v>WO</v>
      </c>
      <c r="AL12" s="7" t="s">
        <v>36</v>
      </c>
      <c r="AM12" s="7" t="s">
        <v>56</v>
      </c>
      <c r="AN12" s="7" t="s">
        <v>56</v>
      </c>
      <c r="AO12" s="7" t="s">
        <v>57</v>
      </c>
      <c r="AP12" s="5"/>
      <c r="AQ12" s="5"/>
      <c r="AR12" s="7">
        <v>5</v>
      </c>
      <c r="AS12" s="7" t="s">
        <v>40</v>
      </c>
      <c r="AT12" s="7" t="s">
        <v>68</v>
      </c>
      <c r="AU12" s="7">
        <v>1005</v>
      </c>
      <c r="AV12" s="30">
        <f t="shared" si="3"/>
        <v>17</v>
      </c>
      <c r="AW12" s="30">
        <f t="shared" si="8"/>
        <v>7</v>
      </c>
      <c r="AX12" s="30">
        <f t="shared" si="4"/>
        <v>3</v>
      </c>
      <c r="AY12" s="31">
        <f t="shared" si="5"/>
        <v>4</v>
      </c>
      <c r="AZ12" s="31">
        <f t="shared" si="7"/>
        <v>31</v>
      </c>
      <c r="BA12" s="32">
        <f>Table138[[#This Row],[Days]]-Table138[[#This Row],[Absent]]</f>
        <v>24</v>
      </c>
      <c r="BB12" s="33">
        <v>4900</v>
      </c>
      <c r="BC12" s="36">
        <f>Table138[[#This Row],[Salary]]/Table138[[#This Row],[Days]]</f>
        <v>158.06451612903226</v>
      </c>
      <c r="BD12" s="34">
        <f>Table138[[#This Row],[Per Day Salary]]*Table138[[#This Row],[Absent]]</f>
        <v>1106.4516129032259</v>
      </c>
      <c r="BE12" s="33">
        <f>Table138[[#This Row],[Salary]]-Table138[[#This Row],[Deduction ]]</f>
        <v>3793.5483870967741</v>
      </c>
      <c r="BF12" s="5"/>
      <c r="BG12" s="5"/>
      <c r="BH12" s="5"/>
      <c r="BI12" s="5"/>
      <c r="BJ12" s="5"/>
      <c r="BK12" s="5"/>
      <c r="BL12" s="5"/>
    </row>
    <row r="13" spans="6:66" x14ac:dyDescent="0.35">
      <c r="G13" s="7">
        <v>6</v>
      </c>
      <c r="H13" s="27" t="s">
        <v>41</v>
      </c>
      <c r="I13" s="7">
        <v>1006</v>
      </c>
      <c r="J13" s="15">
        <f t="shared" si="6"/>
        <v>4</v>
      </c>
      <c r="K13" s="7" t="s">
        <v>36</v>
      </c>
      <c r="L13" s="7" t="s">
        <v>36</v>
      </c>
      <c r="M13" s="7" t="s">
        <v>36</v>
      </c>
      <c r="N13" s="7" t="s">
        <v>36</v>
      </c>
      <c r="O13" s="7" t="s">
        <v>36</v>
      </c>
      <c r="P13" s="7" t="s">
        <v>58</v>
      </c>
      <c r="Q13" s="7" t="s">
        <v>56</v>
      </c>
      <c r="R13" s="7" t="s">
        <v>56</v>
      </c>
      <c r="S13" s="7" t="s">
        <v>56</v>
      </c>
      <c r="T13" s="7" t="s">
        <v>57</v>
      </c>
      <c r="U13" s="7" t="s">
        <v>36</v>
      </c>
      <c r="V13" s="7" t="s">
        <v>36</v>
      </c>
      <c r="W13" s="7" t="s">
        <v>58</v>
      </c>
      <c r="X13" s="7" t="s">
        <v>56</v>
      </c>
      <c r="Y13" s="7" t="s">
        <v>56</v>
      </c>
      <c r="Z13" s="7" t="s">
        <v>57</v>
      </c>
      <c r="AA13" s="7" t="s">
        <v>36</v>
      </c>
      <c r="AB13" s="7" t="s">
        <v>36</v>
      </c>
      <c r="AC13" s="7" t="s">
        <v>36</v>
      </c>
      <c r="AD13" s="7" t="str">
        <f t="shared" si="2"/>
        <v>WO</v>
      </c>
      <c r="AE13" s="7" t="s">
        <v>36</v>
      </c>
      <c r="AF13" s="7" t="s">
        <v>36</v>
      </c>
      <c r="AG13" s="7" t="s">
        <v>36</v>
      </c>
      <c r="AH13" s="7" t="s">
        <v>36</v>
      </c>
      <c r="AI13" s="7" t="s">
        <v>36</v>
      </c>
      <c r="AJ13" s="7" t="s">
        <v>36</v>
      </c>
      <c r="AK13" s="7" t="str">
        <f t="shared" si="2"/>
        <v>WO</v>
      </c>
      <c r="AL13" s="7" t="s">
        <v>36</v>
      </c>
      <c r="AM13" s="7" t="s">
        <v>56</v>
      </c>
      <c r="AN13" s="7" t="s">
        <v>56</v>
      </c>
      <c r="AO13" s="7" t="s">
        <v>57</v>
      </c>
      <c r="AP13" s="5"/>
      <c r="AQ13" s="5"/>
      <c r="AR13" s="7">
        <v>6</v>
      </c>
      <c r="AS13" s="7" t="s">
        <v>41</v>
      </c>
      <c r="AT13" s="7" t="s">
        <v>68</v>
      </c>
      <c r="AU13" s="7">
        <v>1006</v>
      </c>
      <c r="AV13" s="30">
        <f t="shared" si="3"/>
        <v>17</v>
      </c>
      <c r="AW13" s="30">
        <f t="shared" si="8"/>
        <v>7</v>
      </c>
      <c r="AX13" s="30">
        <f t="shared" si="4"/>
        <v>3</v>
      </c>
      <c r="AY13" s="31">
        <f t="shared" si="5"/>
        <v>4</v>
      </c>
      <c r="AZ13" s="31">
        <f t="shared" si="7"/>
        <v>31</v>
      </c>
      <c r="BA13" s="32">
        <f>Table138[[#This Row],[Days]]-Table138[[#This Row],[Absent]]</f>
        <v>24</v>
      </c>
      <c r="BB13" s="33">
        <v>5000</v>
      </c>
      <c r="BC13" s="36">
        <f>Table138[[#This Row],[Salary]]/Table138[[#This Row],[Days]]</f>
        <v>161.29032258064515</v>
      </c>
      <c r="BD13" s="34">
        <f>Table138[[#This Row],[Per Day Salary]]*Table138[[#This Row],[Absent]]</f>
        <v>1129.0322580645161</v>
      </c>
      <c r="BE13" s="33">
        <f>Table138[[#This Row],[Salary]]-Table138[[#This Row],[Deduction ]]</f>
        <v>3870.9677419354839</v>
      </c>
      <c r="BF13" s="5"/>
      <c r="BG13" s="5"/>
      <c r="BH13" s="5"/>
      <c r="BI13" s="5"/>
      <c r="BJ13" s="5"/>
      <c r="BK13" s="5"/>
      <c r="BL13" s="5"/>
    </row>
    <row r="14" spans="6:66" x14ac:dyDescent="0.35">
      <c r="G14" s="7">
        <v>7</v>
      </c>
      <c r="H14" s="27" t="s">
        <v>42</v>
      </c>
      <c r="I14" s="7">
        <v>1007</v>
      </c>
      <c r="J14" s="15">
        <f t="shared" si="6"/>
        <v>4</v>
      </c>
      <c r="K14" s="7" t="s">
        <v>36</v>
      </c>
      <c r="L14" s="7" t="s">
        <v>36</v>
      </c>
      <c r="M14" s="7" t="s">
        <v>36</v>
      </c>
      <c r="N14" s="7" t="s">
        <v>36</v>
      </c>
      <c r="O14" s="7" t="s">
        <v>36</v>
      </c>
      <c r="P14" s="7" t="s">
        <v>58</v>
      </c>
      <c r="Q14" s="7" t="s">
        <v>56</v>
      </c>
      <c r="R14" s="7" t="s">
        <v>56</v>
      </c>
      <c r="S14" s="7" t="s">
        <v>56</v>
      </c>
      <c r="T14" s="7" t="s">
        <v>57</v>
      </c>
      <c r="U14" s="7" t="s">
        <v>36</v>
      </c>
      <c r="V14" s="7" t="s">
        <v>36</v>
      </c>
      <c r="W14" s="7" t="s">
        <v>58</v>
      </c>
      <c r="X14" s="7" t="s">
        <v>56</v>
      </c>
      <c r="Y14" s="7" t="s">
        <v>56</v>
      </c>
      <c r="Z14" s="7" t="s">
        <v>57</v>
      </c>
      <c r="AA14" s="7" t="s">
        <v>36</v>
      </c>
      <c r="AB14" s="7" t="s">
        <v>36</v>
      </c>
      <c r="AC14" s="7" t="s">
        <v>36</v>
      </c>
      <c r="AD14" s="7" t="str">
        <f t="shared" si="2"/>
        <v>WO</v>
      </c>
      <c r="AE14" s="7" t="s">
        <v>36</v>
      </c>
      <c r="AF14" s="7" t="s">
        <v>36</v>
      </c>
      <c r="AG14" s="7" t="s">
        <v>36</v>
      </c>
      <c r="AH14" s="7" t="s">
        <v>36</v>
      </c>
      <c r="AI14" s="7" t="s">
        <v>36</v>
      </c>
      <c r="AJ14" s="7" t="s">
        <v>36</v>
      </c>
      <c r="AK14" s="7" t="str">
        <f t="shared" si="2"/>
        <v>WO</v>
      </c>
      <c r="AL14" s="7" t="s">
        <v>36</v>
      </c>
      <c r="AM14" s="7" t="s">
        <v>56</v>
      </c>
      <c r="AN14" s="7" t="s">
        <v>56</v>
      </c>
      <c r="AO14" s="7" t="s">
        <v>57</v>
      </c>
      <c r="AR14" s="7">
        <v>7</v>
      </c>
      <c r="AS14" s="7" t="s">
        <v>42</v>
      </c>
      <c r="AT14" s="7" t="s">
        <v>68</v>
      </c>
      <c r="AU14" s="7">
        <v>1007</v>
      </c>
      <c r="AV14" s="30">
        <f t="shared" si="3"/>
        <v>17</v>
      </c>
      <c r="AW14" s="30">
        <f t="shared" si="8"/>
        <v>7</v>
      </c>
      <c r="AX14" s="30">
        <f t="shared" si="4"/>
        <v>3</v>
      </c>
      <c r="AY14" s="31">
        <f t="shared" si="5"/>
        <v>4</v>
      </c>
      <c r="AZ14" s="31">
        <f t="shared" si="7"/>
        <v>31</v>
      </c>
      <c r="BA14" s="32">
        <f>Table138[[#This Row],[Days]]-Table138[[#This Row],[Absent]]</f>
        <v>24</v>
      </c>
      <c r="BB14" s="33">
        <v>5100</v>
      </c>
      <c r="BC14" s="36">
        <f>Table138[[#This Row],[Salary]]/Table138[[#This Row],[Days]]</f>
        <v>164.51612903225808</v>
      </c>
      <c r="BD14" s="34">
        <f>Table138[[#This Row],[Per Day Salary]]*Table138[[#This Row],[Absent]]</f>
        <v>1151.6129032258066</v>
      </c>
      <c r="BE14" s="33">
        <f>Table138[[#This Row],[Salary]]-Table138[[#This Row],[Deduction ]]</f>
        <v>3948.3870967741932</v>
      </c>
    </row>
    <row r="15" spans="6:66" x14ac:dyDescent="0.35">
      <c r="G15" s="7">
        <v>8</v>
      </c>
      <c r="H15" s="27" t="s">
        <v>43</v>
      </c>
      <c r="I15" s="7">
        <v>1008</v>
      </c>
      <c r="J15" s="15">
        <f t="shared" si="6"/>
        <v>4</v>
      </c>
      <c r="K15" s="7" t="s">
        <v>36</v>
      </c>
      <c r="L15" s="7" t="s">
        <v>36</v>
      </c>
      <c r="M15" s="7" t="s">
        <v>36</v>
      </c>
      <c r="N15" s="7" t="s">
        <v>36</v>
      </c>
      <c r="O15" s="7" t="s">
        <v>36</v>
      </c>
      <c r="P15" s="7" t="s">
        <v>58</v>
      </c>
      <c r="Q15" s="7" t="s">
        <v>56</v>
      </c>
      <c r="R15" s="7" t="s">
        <v>56</v>
      </c>
      <c r="S15" s="7" t="s">
        <v>56</v>
      </c>
      <c r="T15" s="7" t="s">
        <v>57</v>
      </c>
      <c r="U15" s="7" t="s">
        <v>36</v>
      </c>
      <c r="V15" s="7" t="s">
        <v>36</v>
      </c>
      <c r="W15" s="7" t="s">
        <v>58</v>
      </c>
      <c r="X15" s="7" t="s">
        <v>56</v>
      </c>
      <c r="Y15" s="7" t="s">
        <v>56</v>
      </c>
      <c r="Z15" s="7" t="s">
        <v>57</v>
      </c>
      <c r="AA15" s="7" t="s">
        <v>36</v>
      </c>
      <c r="AB15" s="7" t="s">
        <v>36</v>
      </c>
      <c r="AC15" s="7" t="s">
        <v>36</v>
      </c>
      <c r="AD15" s="7" t="str">
        <f t="shared" si="2"/>
        <v>WO</v>
      </c>
      <c r="AE15" s="7" t="s">
        <v>36</v>
      </c>
      <c r="AF15" s="7" t="s">
        <v>36</v>
      </c>
      <c r="AG15" s="7" t="s">
        <v>36</v>
      </c>
      <c r="AH15" s="7" t="s">
        <v>36</v>
      </c>
      <c r="AI15" s="7" t="s">
        <v>36</v>
      </c>
      <c r="AJ15" s="7" t="s">
        <v>36</v>
      </c>
      <c r="AK15" s="7" t="str">
        <f t="shared" si="2"/>
        <v>WO</v>
      </c>
      <c r="AL15" s="7" t="s">
        <v>36</v>
      </c>
      <c r="AM15" s="7" t="s">
        <v>56</v>
      </c>
      <c r="AN15" s="7" t="s">
        <v>56</v>
      </c>
      <c r="AO15" s="7" t="s">
        <v>57</v>
      </c>
      <c r="AR15" s="7">
        <v>8</v>
      </c>
      <c r="AS15" s="7" t="s">
        <v>43</v>
      </c>
      <c r="AT15" s="7" t="s">
        <v>68</v>
      </c>
      <c r="AU15" s="7">
        <v>1008</v>
      </c>
      <c r="AV15" s="30">
        <f t="shared" si="3"/>
        <v>17</v>
      </c>
      <c r="AW15" s="30">
        <f t="shared" si="8"/>
        <v>7</v>
      </c>
      <c r="AX15" s="30">
        <f t="shared" si="4"/>
        <v>3</v>
      </c>
      <c r="AY15" s="31">
        <f t="shared" si="5"/>
        <v>4</v>
      </c>
      <c r="AZ15" s="31">
        <f t="shared" si="7"/>
        <v>31</v>
      </c>
      <c r="BA15" s="32">
        <f>Table138[[#This Row],[Days]]-Table138[[#This Row],[Absent]]</f>
        <v>24</v>
      </c>
      <c r="BB15" s="33">
        <v>5200</v>
      </c>
      <c r="BC15" s="36">
        <f>Table138[[#This Row],[Salary]]/Table138[[#This Row],[Days]]</f>
        <v>167.74193548387098</v>
      </c>
      <c r="BD15" s="34">
        <f>Table138[[#This Row],[Per Day Salary]]*Table138[[#This Row],[Absent]]</f>
        <v>1174.1935483870968</v>
      </c>
      <c r="BE15" s="33">
        <f>Table138[[#This Row],[Salary]]-Table138[[#This Row],[Deduction ]]</f>
        <v>4025.8064516129034</v>
      </c>
    </row>
    <row r="16" spans="6:66" ht="15" thickBot="1" x14ac:dyDescent="0.4">
      <c r="G16" s="7">
        <v>9</v>
      </c>
      <c r="H16" s="27" t="s">
        <v>44</v>
      </c>
      <c r="I16" s="7">
        <v>1009</v>
      </c>
      <c r="J16" s="15">
        <f t="shared" si="6"/>
        <v>4</v>
      </c>
      <c r="K16" s="7" t="s">
        <v>36</v>
      </c>
      <c r="L16" s="7" t="s">
        <v>36</v>
      </c>
      <c r="M16" s="7" t="s">
        <v>36</v>
      </c>
      <c r="N16" s="7" t="s">
        <v>36</v>
      </c>
      <c r="O16" s="7" t="s">
        <v>36</v>
      </c>
      <c r="P16" s="7" t="s">
        <v>58</v>
      </c>
      <c r="Q16" s="7" t="s">
        <v>56</v>
      </c>
      <c r="R16" s="7" t="s">
        <v>56</v>
      </c>
      <c r="S16" s="7" t="s">
        <v>56</v>
      </c>
      <c r="T16" s="7" t="s">
        <v>57</v>
      </c>
      <c r="U16" s="7" t="s">
        <v>36</v>
      </c>
      <c r="V16" s="7" t="s">
        <v>36</v>
      </c>
      <c r="W16" s="7" t="s">
        <v>58</v>
      </c>
      <c r="X16" s="7" t="s">
        <v>56</v>
      </c>
      <c r="Y16" s="7" t="s">
        <v>56</v>
      </c>
      <c r="Z16" s="7" t="s">
        <v>57</v>
      </c>
      <c r="AA16" s="7" t="s">
        <v>36</v>
      </c>
      <c r="AB16" s="7" t="s">
        <v>36</v>
      </c>
      <c r="AC16" s="7" t="s">
        <v>36</v>
      </c>
      <c r="AD16" s="7" t="str">
        <f t="shared" si="2"/>
        <v>WO</v>
      </c>
      <c r="AE16" s="7" t="s">
        <v>36</v>
      </c>
      <c r="AF16" s="7" t="s">
        <v>36</v>
      </c>
      <c r="AG16" s="7" t="s">
        <v>36</v>
      </c>
      <c r="AH16" s="7" t="s">
        <v>36</v>
      </c>
      <c r="AI16" s="7" t="s">
        <v>36</v>
      </c>
      <c r="AJ16" s="7" t="s">
        <v>36</v>
      </c>
      <c r="AK16" s="7" t="str">
        <f t="shared" ref="AK16" si="9">IF(AK$6="Sun","WO","")</f>
        <v>WO</v>
      </c>
      <c r="AL16" s="7" t="s">
        <v>36</v>
      </c>
      <c r="AM16" s="7" t="s">
        <v>56</v>
      </c>
      <c r="AN16" s="7" t="s">
        <v>56</v>
      </c>
      <c r="AO16" s="7" t="s">
        <v>57</v>
      </c>
      <c r="AR16" s="7">
        <v>9</v>
      </c>
      <c r="AS16" s="7" t="s">
        <v>44</v>
      </c>
      <c r="AT16" s="7" t="s">
        <v>68</v>
      </c>
      <c r="AU16" s="7">
        <v>1009</v>
      </c>
      <c r="AV16" s="30">
        <f t="shared" si="3"/>
        <v>17</v>
      </c>
      <c r="AW16" s="30">
        <f t="shared" si="8"/>
        <v>7</v>
      </c>
      <c r="AX16" s="30">
        <f t="shared" si="4"/>
        <v>3</v>
      </c>
      <c r="AY16" s="31">
        <f t="shared" si="5"/>
        <v>4</v>
      </c>
      <c r="AZ16" s="31">
        <f t="shared" si="7"/>
        <v>31</v>
      </c>
      <c r="BA16" s="32">
        <f>Table138[[#This Row],[Days]]-Table138[[#This Row],[Absent]]</f>
        <v>24</v>
      </c>
      <c r="BB16" s="33">
        <v>5300</v>
      </c>
      <c r="BC16" s="36">
        <f>Table138[[#This Row],[Salary]]/Table138[[#This Row],[Days]]</f>
        <v>170.96774193548387</v>
      </c>
      <c r="BD16" s="34">
        <f>Table138[[#This Row],[Per Day Salary]]*Table138[[#This Row],[Absent]]</f>
        <v>1196.7741935483871</v>
      </c>
      <c r="BE16" s="33">
        <f>Table138[[#This Row],[Salary]]-Table138[[#This Row],[Deduction ]]</f>
        <v>4103.2258064516127</v>
      </c>
    </row>
    <row r="17" spans="7:60" ht="14.15" customHeight="1" thickBot="1" x14ac:dyDescent="0.4">
      <c r="G17" s="7">
        <v>10</v>
      </c>
      <c r="H17" s="27" t="s">
        <v>45</v>
      </c>
      <c r="I17" s="7">
        <v>1010</v>
      </c>
      <c r="J17" s="15">
        <f t="shared" si="6"/>
        <v>4</v>
      </c>
      <c r="K17" s="7" t="s">
        <v>36</v>
      </c>
      <c r="L17" s="7" t="s">
        <v>36</v>
      </c>
      <c r="M17" s="7" t="s">
        <v>36</v>
      </c>
      <c r="N17" s="7" t="s">
        <v>36</v>
      </c>
      <c r="O17" s="7" t="s">
        <v>36</v>
      </c>
      <c r="P17" s="7" t="s">
        <v>58</v>
      </c>
      <c r="Q17" s="7" t="s">
        <v>56</v>
      </c>
      <c r="R17" s="7" t="s">
        <v>56</v>
      </c>
      <c r="S17" s="7" t="s">
        <v>56</v>
      </c>
      <c r="T17" s="7" t="s">
        <v>57</v>
      </c>
      <c r="U17" s="7" t="s">
        <v>36</v>
      </c>
      <c r="V17" s="7" t="s">
        <v>36</v>
      </c>
      <c r="W17" s="7" t="s">
        <v>58</v>
      </c>
      <c r="X17" s="7" t="s">
        <v>56</v>
      </c>
      <c r="Y17" s="7" t="s">
        <v>56</v>
      </c>
      <c r="Z17" s="7" t="s">
        <v>57</v>
      </c>
      <c r="AA17" s="7" t="s">
        <v>36</v>
      </c>
      <c r="AB17" s="7" t="s">
        <v>36</v>
      </c>
      <c r="AC17" s="7" t="s">
        <v>36</v>
      </c>
      <c r="AD17" s="7" t="str">
        <f t="shared" ref="AD17:AK27" si="10">IF(AD$6="Sun","WO","")</f>
        <v>WO</v>
      </c>
      <c r="AE17" s="7" t="s">
        <v>36</v>
      </c>
      <c r="AF17" s="7" t="s">
        <v>36</v>
      </c>
      <c r="AG17" s="7" t="s">
        <v>36</v>
      </c>
      <c r="AH17" s="7" t="s">
        <v>36</v>
      </c>
      <c r="AI17" s="7" t="s">
        <v>36</v>
      </c>
      <c r="AJ17" s="7" t="s">
        <v>36</v>
      </c>
      <c r="AK17" s="7" t="str">
        <f t="shared" si="10"/>
        <v>WO</v>
      </c>
      <c r="AL17" s="7" t="s">
        <v>36</v>
      </c>
      <c r="AM17" s="7" t="s">
        <v>56</v>
      </c>
      <c r="AN17" s="7" t="s">
        <v>56</v>
      </c>
      <c r="AO17" s="7" t="s">
        <v>57</v>
      </c>
      <c r="AR17" s="7">
        <v>10</v>
      </c>
      <c r="AS17" s="7" t="s">
        <v>45</v>
      </c>
      <c r="AT17" s="7" t="s">
        <v>68</v>
      </c>
      <c r="AU17" s="7">
        <v>1010</v>
      </c>
      <c r="AV17" s="30">
        <f t="shared" si="3"/>
        <v>17</v>
      </c>
      <c r="AW17" s="30">
        <f t="shared" si="8"/>
        <v>7</v>
      </c>
      <c r="AX17" s="30">
        <f t="shared" si="4"/>
        <v>3</v>
      </c>
      <c r="AY17" s="31">
        <f t="shared" si="5"/>
        <v>4</v>
      </c>
      <c r="AZ17" s="31">
        <f t="shared" si="7"/>
        <v>31</v>
      </c>
      <c r="BA17" s="32">
        <f>Table138[[#This Row],[Days]]-Table138[[#This Row],[Absent]]</f>
        <v>24</v>
      </c>
      <c r="BB17" s="33">
        <v>5400</v>
      </c>
      <c r="BC17" s="36">
        <f>Table138[[#This Row],[Salary]]/Table138[[#This Row],[Days]]</f>
        <v>174.19354838709677</v>
      </c>
      <c r="BD17" s="34">
        <f>Table138[[#This Row],[Per Day Salary]]*Table138[[#This Row],[Absent]]</f>
        <v>1219.3548387096773</v>
      </c>
      <c r="BE17" s="33">
        <f>Table138[[#This Row],[Salary]]-Table138[[#This Row],[Deduction ]]</f>
        <v>4180.6451612903229</v>
      </c>
      <c r="BH17" s="19"/>
    </row>
    <row r="18" spans="7:60" x14ac:dyDescent="0.35">
      <c r="G18" s="7">
        <v>11</v>
      </c>
      <c r="H18" s="27" t="s">
        <v>46</v>
      </c>
      <c r="I18" s="7">
        <v>1011</v>
      </c>
      <c r="J18" s="15">
        <f t="shared" si="6"/>
        <v>4</v>
      </c>
      <c r="K18" s="7" t="s">
        <v>36</v>
      </c>
      <c r="L18" s="7" t="s">
        <v>36</v>
      </c>
      <c r="M18" s="7" t="s">
        <v>36</v>
      </c>
      <c r="N18" s="7" t="s">
        <v>36</v>
      </c>
      <c r="O18" s="7" t="s">
        <v>36</v>
      </c>
      <c r="P18" s="7" t="s">
        <v>58</v>
      </c>
      <c r="Q18" s="7" t="s">
        <v>56</v>
      </c>
      <c r="R18" s="7" t="s">
        <v>56</v>
      </c>
      <c r="S18" s="7" t="s">
        <v>56</v>
      </c>
      <c r="T18" s="7" t="s">
        <v>57</v>
      </c>
      <c r="U18" s="7" t="s">
        <v>36</v>
      </c>
      <c r="V18" s="7" t="s">
        <v>36</v>
      </c>
      <c r="W18" s="7" t="s">
        <v>58</v>
      </c>
      <c r="X18" s="7" t="s">
        <v>56</v>
      </c>
      <c r="Y18" s="7" t="s">
        <v>56</v>
      </c>
      <c r="Z18" s="7" t="s">
        <v>57</v>
      </c>
      <c r="AA18" s="7" t="s">
        <v>36</v>
      </c>
      <c r="AB18" s="7" t="s">
        <v>36</v>
      </c>
      <c r="AC18" s="7" t="s">
        <v>36</v>
      </c>
      <c r="AD18" s="7" t="str">
        <f t="shared" si="10"/>
        <v>WO</v>
      </c>
      <c r="AE18" s="7" t="s">
        <v>36</v>
      </c>
      <c r="AF18" s="7" t="s">
        <v>36</v>
      </c>
      <c r="AG18" s="7" t="s">
        <v>36</v>
      </c>
      <c r="AH18" s="7" t="s">
        <v>36</v>
      </c>
      <c r="AI18" s="7" t="s">
        <v>36</v>
      </c>
      <c r="AJ18" s="7" t="s">
        <v>36</v>
      </c>
      <c r="AK18" s="7" t="str">
        <f t="shared" si="10"/>
        <v>WO</v>
      </c>
      <c r="AL18" s="7" t="s">
        <v>36</v>
      </c>
      <c r="AM18" s="7" t="s">
        <v>56</v>
      </c>
      <c r="AN18" s="7" t="s">
        <v>56</v>
      </c>
      <c r="AO18" s="7" t="s">
        <v>57</v>
      </c>
      <c r="AR18" s="7">
        <v>11</v>
      </c>
      <c r="AS18" s="7" t="s">
        <v>46</v>
      </c>
      <c r="AT18" s="7" t="s">
        <v>68</v>
      </c>
      <c r="AU18" s="7">
        <v>1011</v>
      </c>
      <c r="AV18" s="30">
        <f t="shared" si="3"/>
        <v>17</v>
      </c>
      <c r="AW18" s="30">
        <f t="shared" si="8"/>
        <v>7</v>
      </c>
      <c r="AX18" s="30">
        <f t="shared" si="4"/>
        <v>3</v>
      </c>
      <c r="AY18" s="31">
        <f t="shared" si="5"/>
        <v>4</v>
      </c>
      <c r="AZ18" s="31">
        <f t="shared" si="7"/>
        <v>31</v>
      </c>
      <c r="BA18" s="32">
        <f>Table138[[#This Row],[Days]]-Table138[[#This Row],[Absent]]</f>
        <v>24</v>
      </c>
      <c r="BB18" s="33">
        <v>5500</v>
      </c>
      <c r="BC18" s="36">
        <f>Table138[[#This Row],[Salary]]/Table138[[#This Row],[Days]]</f>
        <v>177.41935483870967</v>
      </c>
      <c r="BD18" s="34">
        <f>Table138[[#This Row],[Per Day Salary]]*Table138[[#This Row],[Absent]]</f>
        <v>1241.9354838709676</v>
      </c>
      <c r="BE18" s="33">
        <f>Table138[[#This Row],[Salary]]-Table138[[#This Row],[Deduction ]]</f>
        <v>4258.0645161290322</v>
      </c>
    </row>
    <row r="19" spans="7:60" x14ac:dyDescent="0.35">
      <c r="G19" s="7">
        <v>12</v>
      </c>
      <c r="H19" s="27" t="s">
        <v>47</v>
      </c>
      <c r="I19" s="7">
        <v>1012</v>
      </c>
      <c r="J19" s="15">
        <f t="shared" si="6"/>
        <v>4</v>
      </c>
      <c r="K19" s="7" t="s">
        <v>36</v>
      </c>
      <c r="L19" s="7" t="s">
        <v>36</v>
      </c>
      <c r="M19" s="7" t="s">
        <v>36</v>
      </c>
      <c r="N19" s="7" t="s">
        <v>36</v>
      </c>
      <c r="O19" s="7" t="s">
        <v>36</v>
      </c>
      <c r="P19" s="7" t="s">
        <v>58</v>
      </c>
      <c r="Q19" s="7" t="s">
        <v>56</v>
      </c>
      <c r="R19" s="7" t="s">
        <v>56</v>
      </c>
      <c r="S19" s="7" t="s">
        <v>56</v>
      </c>
      <c r="T19" s="7" t="s">
        <v>57</v>
      </c>
      <c r="U19" s="7" t="s">
        <v>36</v>
      </c>
      <c r="V19" s="7" t="s">
        <v>36</v>
      </c>
      <c r="W19" s="7" t="s">
        <v>58</v>
      </c>
      <c r="X19" s="7" t="s">
        <v>56</v>
      </c>
      <c r="Y19" s="7" t="s">
        <v>56</v>
      </c>
      <c r="Z19" s="7" t="s">
        <v>57</v>
      </c>
      <c r="AA19" s="7" t="s">
        <v>36</v>
      </c>
      <c r="AB19" s="7" t="s">
        <v>36</v>
      </c>
      <c r="AC19" s="7" t="s">
        <v>36</v>
      </c>
      <c r="AD19" s="7" t="str">
        <f t="shared" si="10"/>
        <v>WO</v>
      </c>
      <c r="AE19" s="7" t="s">
        <v>36</v>
      </c>
      <c r="AF19" s="7" t="s">
        <v>36</v>
      </c>
      <c r="AG19" s="7" t="s">
        <v>36</v>
      </c>
      <c r="AH19" s="7" t="s">
        <v>36</v>
      </c>
      <c r="AI19" s="7" t="s">
        <v>36</v>
      </c>
      <c r="AJ19" s="7" t="s">
        <v>36</v>
      </c>
      <c r="AK19" s="7" t="str">
        <f t="shared" si="10"/>
        <v>WO</v>
      </c>
      <c r="AL19" s="7" t="s">
        <v>36</v>
      </c>
      <c r="AM19" s="7" t="s">
        <v>56</v>
      </c>
      <c r="AN19" s="7" t="s">
        <v>56</v>
      </c>
      <c r="AO19" s="7" t="s">
        <v>57</v>
      </c>
      <c r="AR19" s="7">
        <v>12</v>
      </c>
      <c r="AS19" s="7" t="s">
        <v>47</v>
      </c>
      <c r="AT19" s="7" t="s">
        <v>68</v>
      </c>
      <c r="AU19" s="7">
        <v>1012</v>
      </c>
      <c r="AV19" s="30">
        <f t="shared" si="3"/>
        <v>17</v>
      </c>
      <c r="AW19" s="30">
        <f t="shared" si="8"/>
        <v>7</v>
      </c>
      <c r="AX19" s="30">
        <f t="shared" si="4"/>
        <v>3</v>
      </c>
      <c r="AY19" s="31">
        <f t="shared" si="5"/>
        <v>4</v>
      </c>
      <c r="AZ19" s="31">
        <f t="shared" si="7"/>
        <v>31</v>
      </c>
      <c r="BA19" s="32">
        <f>Table138[[#This Row],[Days]]-Table138[[#This Row],[Absent]]</f>
        <v>24</v>
      </c>
      <c r="BB19" s="33">
        <v>5600</v>
      </c>
      <c r="BC19" s="36">
        <f>Table138[[#This Row],[Salary]]/Table138[[#This Row],[Days]]</f>
        <v>180.64516129032259</v>
      </c>
      <c r="BD19" s="34">
        <f>Table138[[#This Row],[Per Day Salary]]*Table138[[#This Row],[Absent]]</f>
        <v>1264.516129032258</v>
      </c>
      <c r="BE19" s="33">
        <f>Table138[[#This Row],[Salary]]-Table138[[#This Row],[Deduction ]]</f>
        <v>4335.4838709677424</v>
      </c>
    </row>
    <row r="20" spans="7:60" x14ac:dyDescent="0.35">
      <c r="G20" s="7">
        <v>13</v>
      </c>
      <c r="H20" s="27" t="s">
        <v>48</v>
      </c>
      <c r="I20" s="7">
        <v>1013</v>
      </c>
      <c r="J20" s="15">
        <f t="shared" si="6"/>
        <v>4</v>
      </c>
      <c r="K20" s="7" t="s">
        <v>36</v>
      </c>
      <c r="L20" s="7" t="s">
        <v>36</v>
      </c>
      <c r="M20" s="7" t="s">
        <v>36</v>
      </c>
      <c r="N20" s="7" t="s">
        <v>36</v>
      </c>
      <c r="O20" s="7" t="s">
        <v>36</v>
      </c>
      <c r="P20" s="7" t="s">
        <v>58</v>
      </c>
      <c r="Q20" s="7" t="s">
        <v>56</v>
      </c>
      <c r="R20" s="7" t="s">
        <v>56</v>
      </c>
      <c r="S20" s="7" t="s">
        <v>56</v>
      </c>
      <c r="T20" s="7" t="s">
        <v>57</v>
      </c>
      <c r="U20" s="7" t="s">
        <v>36</v>
      </c>
      <c r="V20" s="7" t="s">
        <v>36</v>
      </c>
      <c r="W20" s="7" t="s">
        <v>58</v>
      </c>
      <c r="X20" s="7" t="s">
        <v>56</v>
      </c>
      <c r="Y20" s="7" t="s">
        <v>56</v>
      </c>
      <c r="Z20" s="7" t="s">
        <v>57</v>
      </c>
      <c r="AA20" s="7" t="s">
        <v>36</v>
      </c>
      <c r="AB20" s="7" t="s">
        <v>36</v>
      </c>
      <c r="AC20" s="7" t="s">
        <v>36</v>
      </c>
      <c r="AD20" s="7" t="str">
        <f t="shared" si="10"/>
        <v>WO</v>
      </c>
      <c r="AE20" s="7" t="s">
        <v>36</v>
      </c>
      <c r="AF20" s="7" t="s">
        <v>36</v>
      </c>
      <c r="AG20" s="7" t="s">
        <v>36</v>
      </c>
      <c r="AH20" s="7" t="s">
        <v>36</v>
      </c>
      <c r="AI20" s="7" t="s">
        <v>36</v>
      </c>
      <c r="AJ20" s="7" t="s">
        <v>36</v>
      </c>
      <c r="AK20" s="7" t="str">
        <f t="shared" si="10"/>
        <v>WO</v>
      </c>
      <c r="AL20" s="7" t="s">
        <v>36</v>
      </c>
      <c r="AM20" s="7" t="s">
        <v>56</v>
      </c>
      <c r="AN20" s="7" t="s">
        <v>56</v>
      </c>
      <c r="AO20" s="7" t="s">
        <v>57</v>
      </c>
      <c r="AR20" s="7">
        <v>13</v>
      </c>
      <c r="AS20" s="7" t="s">
        <v>48</v>
      </c>
      <c r="AT20" s="7" t="s">
        <v>68</v>
      </c>
      <c r="AU20" s="7">
        <v>1013</v>
      </c>
      <c r="AV20" s="30">
        <f t="shared" si="3"/>
        <v>17</v>
      </c>
      <c r="AW20" s="30">
        <f t="shared" si="8"/>
        <v>7</v>
      </c>
      <c r="AX20" s="30">
        <f t="shared" si="4"/>
        <v>3</v>
      </c>
      <c r="AY20" s="31">
        <f t="shared" si="5"/>
        <v>4</v>
      </c>
      <c r="AZ20" s="31">
        <f t="shared" si="7"/>
        <v>31</v>
      </c>
      <c r="BA20" s="32">
        <f>Table138[[#This Row],[Days]]-Table138[[#This Row],[Absent]]</f>
        <v>24</v>
      </c>
      <c r="BB20" s="33">
        <v>5700</v>
      </c>
      <c r="BC20" s="36">
        <f>Table138[[#This Row],[Salary]]/Table138[[#This Row],[Days]]</f>
        <v>183.87096774193549</v>
      </c>
      <c r="BD20" s="34">
        <f>Table138[[#This Row],[Per Day Salary]]*Table138[[#This Row],[Absent]]</f>
        <v>1287.0967741935483</v>
      </c>
      <c r="BE20" s="33">
        <f>Table138[[#This Row],[Salary]]-Table138[[#This Row],[Deduction ]]</f>
        <v>4412.9032258064517</v>
      </c>
    </row>
    <row r="21" spans="7:60" x14ac:dyDescent="0.35">
      <c r="G21" s="7">
        <v>14</v>
      </c>
      <c r="H21" s="27" t="s">
        <v>49</v>
      </c>
      <c r="I21" s="7">
        <v>1014</v>
      </c>
      <c r="J21" s="15">
        <f t="shared" si="6"/>
        <v>4</v>
      </c>
      <c r="K21" s="7" t="s">
        <v>36</v>
      </c>
      <c r="L21" s="7" t="s">
        <v>36</v>
      </c>
      <c r="M21" s="7" t="s">
        <v>36</v>
      </c>
      <c r="N21" s="7" t="s">
        <v>36</v>
      </c>
      <c r="O21" s="7" t="s">
        <v>36</v>
      </c>
      <c r="P21" s="7" t="s">
        <v>58</v>
      </c>
      <c r="Q21" s="7" t="s">
        <v>56</v>
      </c>
      <c r="R21" s="7" t="s">
        <v>56</v>
      </c>
      <c r="S21" s="7" t="s">
        <v>56</v>
      </c>
      <c r="T21" s="7" t="s">
        <v>57</v>
      </c>
      <c r="U21" s="7" t="s">
        <v>36</v>
      </c>
      <c r="V21" s="7" t="s">
        <v>36</v>
      </c>
      <c r="W21" s="7" t="s">
        <v>58</v>
      </c>
      <c r="X21" s="7" t="s">
        <v>56</v>
      </c>
      <c r="Y21" s="7" t="s">
        <v>56</v>
      </c>
      <c r="Z21" s="7" t="s">
        <v>57</v>
      </c>
      <c r="AA21" s="7" t="s">
        <v>36</v>
      </c>
      <c r="AB21" s="7" t="s">
        <v>36</v>
      </c>
      <c r="AC21" s="7" t="s">
        <v>36</v>
      </c>
      <c r="AD21" s="7" t="str">
        <f t="shared" si="10"/>
        <v>WO</v>
      </c>
      <c r="AE21" s="7" t="s">
        <v>36</v>
      </c>
      <c r="AF21" s="7" t="s">
        <v>36</v>
      </c>
      <c r="AG21" s="7" t="s">
        <v>36</v>
      </c>
      <c r="AH21" s="7" t="s">
        <v>36</v>
      </c>
      <c r="AI21" s="7" t="s">
        <v>36</v>
      </c>
      <c r="AJ21" s="7" t="s">
        <v>36</v>
      </c>
      <c r="AK21" s="7" t="str">
        <f t="shared" si="10"/>
        <v>WO</v>
      </c>
      <c r="AL21" s="7" t="s">
        <v>36</v>
      </c>
      <c r="AM21" s="7" t="s">
        <v>56</v>
      </c>
      <c r="AN21" s="7" t="s">
        <v>56</v>
      </c>
      <c r="AO21" s="7" t="s">
        <v>57</v>
      </c>
      <c r="AR21" s="7">
        <v>14</v>
      </c>
      <c r="AS21" s="7" t="s">
        <v>49</v>
      </c>
      <c r="AT21" s="7" t="s">
        <v>68</v>
      </c>
      <c r="AU21" s="7">
        <v>1014</v>
      </c>
      <c r="AV21" s="30">
        <f t="shared" si="3"/>
        <v>17</v>
      </c>
      <c r="AW21" s="30">
        <f t="shared" si="8"/>
        <v>7</v>
      </c>
      <c r="AX21" s="30">
        <f t="shared" si="4"/>
        <v>3</v>
      </c>
      <c r="AY21" s="31">
        <f t="shared" si="5"/>
        <v>4</v>
      </c>
      <c r="AZ21" s="31">
        <f t="shared" si="7"/>
        <v>31</v>
      </c>
      <c r="BA21" s="32">
        <f>Table138[[#This Row],[Days]]-Table138[[#This Row],[Absent]]</f>
        <v>24</v>
      </c>
      <c r="BB21" s="33">
        <v>5800</v>
      </c>
      <c r="BC21" s="36">
        <f>Table138[[#This Row],[Salary]]/Table138[[#This Row],[Days]]</f>
        <v>187.09677419354838</v>
      </c>
      <c r="BD21" s="34">
        <f>Table138[[#This Row],[Per Day Salary]]*Table138[[#This Row],[Absent]]</f>
        <v>1309.6774193548388</v>
      </c>
      <c r="BE21" s="33">
        <f>Table138[[#This Row],[Salary]]-Table138[[#This Row],[Deduction ]]</f>
        <v>4490.322580645161</v>
      </c>
    </row>
    <row r="22" spans="7:60" x14ac:dyDescent="0.35">
      <c r="G22" s="7">
        <v>15</v>
      </c>
      <c r="H22" s="27" t="s">
        <v>50</v>
      </c>
      <c r="I22" s="7">
        <v>1015</v>
      </c>
      <c r="J22" s="15">
        <f t="shared" si="6"/>
        <v>4</v>
      </c>
      <c r="K22" s="7" t="s">
        <v>36</v>
      </c>
      <c r="L22" s="7" t="s">
        <v>36</v>
      </c>
      <c r="M22" s="7" t="s">
        <v>36</v>
      </c>
      <c r="N22" s="7" t="s">
        <v>36</v>
      </c>
      <c r="O22" s="7" t="s">
        <v>36</v>
      </c>
      <c r="P22" s="7" t="s">
        <v>58</v>
      </c>
      <c r="Q22" s="7" t="s">
        <v>56</v>
      </c>
      <c r="R22" s="7" t="s">
        <v>56</v>
      </c>
      <c r="S22" s="7" t="s">
        <v>56</v>
      </c>
      <c r="T22" s="7" t="s">
        <v>57</v>
      </c>
      <c r="U22" s="7" t="s">
        <v>36</v>
      </c>
      <c r="V22" s="7" t="s">
        <v>36</v>
      </c>
      <c r="W22" s="7" t="s">
        <v>58</v>
      </c>
      <c r="X22" s="7" t="s">
        <v>56</v>
      </c>
      <c r="Y22" s="7" t="s">
        <v>56</v>
      </c>
      <c r="Z22" s="7" t="s">
        <v>57</v>
      </c>
      <c r="AA22" s="7" t="s">
        <v>36</v>
      </c>
      <c r="AB22" s="7" t="s">
        <v>36</v>
      </c>
      <c r="AC22" s="7" t="s">
        <v>36</v>
      </c>
      <c r="AD22" s="7" t="str">
        <f t="shared" si="10"/>
        <v>WO</v>
      </c>
      <c r="AE22" s="7" t="s">
        <v>36</v>
      </c>
      <c r="AF22" s="7" t="s">
        <v>36</v>
      </c>
      <c r="AG22" s="7" t="s">
        <v>36</v>
      </c>
      <c r="AH22" s="7" t="s">
        <v>36</v>
      </c>
      <c r="AI22" s="7" t="s">
        <v>36</v>
      </c>
      <c r="AJ22" s="7" t="s">
        <v>36</v>
      </c>
      <c r="AK22" s="7" t="str">
        <f t="shared" si="10"/>
        <v>WO</v>
      </c>
      <c r="AL22" s="7" t="s">
        <v>36</v>
      </c>
      <c r="AM22" s="7" t="s">
        <v>56</v>
      </c>
      <c r="AN22" s="7" t="s">
        <v>56</v>
      </c>
      <c r="AO22" s="7" t="s">
        <v>57</v>
      </c>
      <c r="AR22" s="7">
        <v>15</v>
      </c>
      <c r="AS22" s="7" t="s">
        <v>50</v>
      </c>
      <c r="AT22" s="7" t="s">
        <v>68</v>
      </c>
      <c r="AU22" s="7">
        <v>1015</v>
      </c>
      <c r="AV22" s="30">
        <f t="shared" si="3"/>
        <v>17</v>
      </c>
      <c r="AW22" s="30">
        <f t="shared" si="8"/>
        <v>7</v>
      </c>
      <c r="AX22" s="30">
        <f t="shared" si="4"/>
        <v>3</v>
      </c>
      <c r="AY22" s="31">
        <f t="shared" si="5"/>
        <v>4</v>
      </c>
      <c r="AZ22" s="31">
        <f t="shared" si="7"/>
        <v>31</v>
      </c>
      <c r="BA22" s="32">
        <f>Table138[[#This Row],[Days]]-Table138[[#This Row],[Absent]]</f>
        <v>24</v>
      </c>
      <c r="BB22" s="33">
        <v>5900</v>
      </c>
      <c r="BC22" s="36">
        <f>Table138[[#This Row],[Salary]]/Table138[[#This Row],[Days]]</f>
        <v>190.32258064516128</v>
      </c>
      <c r="BD22" s="34">
        <f>Table138[[#This Row],[Per Day Salary]]*Table138[[#This Row],[Absent]]</f>
        <v>1332.258064516129</v>
      </c>
      <c r="BE22" s="33">
        <f>Table138[[#This Row],[Salary]]-Table138[[#This Row],[Deduction ]]</f>
        <v>4567.7419354838712</v>
      </c>
    </row>
    <row r="23" spans="7:60" x14ac:dyDescent="0.35">
      <c r="G23" s="7">
        <v>16</v>
      </c>
      <c r="H23" s="27" t="s">
        <v>51</v>
      </c>
      <c r="I23" s="7">
        <v>1016</v>
      </c>
      <c r="J23" s="15">
        <f t="shared" si="6"/>
        <v>4</v>
      </c>
      <c r="K23" s="7" t="s">
        <v>36</v>
      </c>
      <c r="L23" s="7" t="s">
        <v>36</v>
      </c>
      <c r="M23" s="7" t="s">
        <v>36</v>
      </c>
      <c r="N23" s="7" t="s">
        <v>36</v>
      </c>
      <c r="O23" s="7" t="s">
        <v>36</v>
      </c>
      <c r="P23" s="7" t="s">
        <v>58</v>
      </c>
      <c r="Q23" s="7" t="s">
        <v>56</v>
      </c>
      <c r="R23" s="7" t="s">
        <v>56</v>
      </c>
      <c r="S23" s="7" t="s">
        <v>56</v>
      </c>
      <c r="T23" s="7" t="s">
        <v>57</v>
      </c>
      <c r="U23" s="7" t="s">
        <v>36</v>
      </c>
      <c r="V23" s="7" t="s">
        <v>36</v>
      </c>
      <c r="W23" s="7" t="s">
        <v>58</v>
      </c>
      <c r="X23" s="7" t="s">
        <v>56</v>
      </c>
      <c r="Y23" s="7" t="s">
        <v>56</v>
      </c>
      <c r="Z23" s="7" t="s">
        <v>57</v>
      </c>
      <c r="AA23" s="7" t="s">
        <v>36</v>
      </c>
      <c r="AB23" s="7" t="s">
        <v>36</v>
      </c>
      <c r="AC23" s="7" t="s">
        <v>36</v>
      </c>
      <c r="AD23" s="7" t="str">
        <f t="shared" si="10"/>
        <v>WO</v>
      </c>
      <c r="AE23" s="7" t="s">
        <v>36</v>
      </c>
      <c r="AF23" s="7" t="s">
        <v>36</v>
      </c>
      <c r="AG23" s="7" t="s">
        <v>36</v>
      </c>
      <c r="AH23" s="7" t="s">
        <v>36</v>
      </c>
      <c r="AI23" s="7" t="s">
        <v>36</v>
      </c>
      <c r="AJ23" s="7" t="s">
        <v>36</v>
      </c>
      <c r="AK23" s="7" t="str">
        <f t="shared" si="10"/>
        <v>WO</v>
      </c>
      <c r="AL23" s="7" t="s">
        <v>36</v>
      </c>
      <c r="AM23" s="7" t="s">
        <v>56</v>
      </c>
      <c r="AN23" s="7" t="s">
        <v>56</v>
      </c>
      <c r="AO23" s="7" t="s">
        <v>57</v>
      </c>
      <c r="AR23" s="7">
        <v>16</v>
      </c>
      <c r="AS23" s="7" t="s">
        <v>51</v>
      </c>
      <c r="AT23" s="7" t="s">
        <v>68</v>
      </c>
      <c r="AU23" s="7">
        <v>1016</v>
      </c>
      <c r="AV23" s="30">
        <f t="shared" si="3"/>
        <v>17</v>
      </c>
      <c r="AW23" s="30">
        <f t="shared" si="8"/>
        <v>7</v>
      </c>
      <c r="AX23" s="30">
        <f t="shared" si="4"/>
        <v>3</v>
      </c>
      <c r="AY23" s="31">
        <f t="shared" si="5"/>
        <v>4</v>
      </c>
      <c r="AZ23" s="31">
        <f t="shared" si="7"/>
        <v>31</v>
      </c>
      <c r="BA23" s="32">
        <f>Table138[[#This Row],[Days]]-Table138[[#This Row],[Absent]]</f>
        <v>24</v>
      </c>
      <c r="BB23" s="33">
        <v>6000</v>
      </c>
      <c r="BC23" s="36">
        <f>Table138[[#This Row],[Salary]]/Table138[[#This Row],[Days]]</f>
        <v>193.54838709677421</v>
      </c>
      <c r="BD23" s="34">
        <f>Table138[[#This Row],[Per Day Salary]]*Table138[[#This Row],[Absent]]</f>
        <v>1354.8387096774195</v>
      </c>
      <c r="BE23" s="33">
        <f>Table138[[#This Row],[Salary]]-Table138[[#This Row],[Deduction ]]</f>
        <v>4645.1612903225805</v>
      </c>
    </row>
    <row r="24" spans="7:60" x14ac:dyDescent="0.35">
      <c r="G24" s="7">
        <v>17</v>
      </c>
      <c r="H24" s="27" t="s">
        <v>52</v>
      </c>
      <c r="I24" s="7">
        <v>1017</v>
      </c>
      <c r="J24" s="15">
        <f t="shared" si="6"/>
        <v>4</v>
      </c>
      <c r="K24" s="7" t="s">
        <v>36</v>
      </c>
      <c r="L24" s="7" t="s">
        <v>36</v>
      </c>
      <c r="M24" s="7" t="s">
        <v>36</v>
      </c>
      <c r="N24" s="7" t="s">
        <v>36</v>
      </c>
      <c r="O24" s="7" t="s">
        <v>36</v>
      </c>
      <c r="P24" s="7" t="s">
        <v>58</v>
      </c>
      <c r="Q24" s="7" t="s">
        <v>56</v>
      </c>
      <c r="R24" s="7" t="s">
        <v>56</v>
      </c>
      <c r="S24" s="7" t="s">
        <v>56</v>
      </c>
      <c r="T24" s="7" t="s">
        <v>57</v>
      </c>
      <c r="U24" s="7" t="s">
        <v>36</v>
      </c>
      <c r="V24" s="7" t="s">
        <v>36</v>
      </c>
      <c r="W24" s="7" t="s">
        <v>58</v>
      </c>
      <c r="X24" s="7" t="s">
        <v>56</v>
      </c>
      <c r="Y24" s="7" t="s">
        <v>56</v>
      </c>
      <c r="Z24" s="7" t="s">
        <v>57</v>
      </c>
      <c r="AA24" s="7" t="s">
        <v>36</v>
      </c>
      <c r="AB24" s="7" t="s">
        <v>36</v>
      </c>
      <c r="AC24" s="7" t="s">
        <v>36</v>
      </c>
      <c r="AD24" s="7" t="str">
        <f t="shared" si="10"/>
        <v>WO</v>
      </c>
      <c r="AE24" s="7" t="s">
        <v>36</v>
      </c>
      <c r="AF24" s="7" t="s">
        <v>36</v>
      </c>
      <c r="AG24" s="7" t="s">
        <v>36</v>
      </c>
      <c r="AH24" s="7" t="s">
        <v>36</v>
      </c>
      <c r="AI24" s="7" t="s">
        <v>36</v>
      </c>
      <c r="AJ24" s="7" t="s">
        <v>36</v>
      </c>
      <c r="AK24" s="7" t="str">
        <f t="shared" si="10"/>
        <v>WO</v>
      </c>
      <c r="AL24" s="7" t="s">
        <v>36</v>
      </c>
      <c r="AM24" s="7" t="s">
        <v>56</v>
      </c>
      <c r="AN24" s="7" t="s">
        <v>56</v>
      </c>
      <c r="AO24" s="7" t="s">
        <v>57</v>
      </c>
      <c r="AR24" s="7">
        <v>17</v>
      </c>
      <c r="AS24" s="7" t="s">
        <v>52</v>
      </c>
      <c r="AT24" s="7" t="s">
        <v>68</v>
      </c>
      <c r="AU24" s="7">
        <v>1017</v>
      </c>
      <c r="AV24" s="30">
        <f t="shared" si="3"/>
        <v>17</v>
      </c>
      <c r="AW24" s="30">
        <f t="shared" si="8"/>
        <v>7</v>
      </c>
      <c r="AX24" s="30">
        <f t="shared" si="4"/>
        <v>3</v>
      </c>
      <c r="AY24" s="31">
        <f t="shared" si="5"/>
        <v>4</v>
      </c>
      <c r="AZ24" s="31">
        <f t="shared" si="7"/>
        <v>31</v>
      </c>
      <c r="BA24" s="1">
        <f>Table138[[#This Row],[Days]]-Table138[[#This Row],[Absent]]</f>
        <v>24</v>
      </c>
      <c r="BB24" s="33">
        <v>6100</v>
      </c>
      <c r="BC24" s="36">
        <f>Table138[[#This Row],[Salary]]/Table138[[#This Row],[Days]]</f>
        <v>196.7741935483871</v>
      </c>
      <c r="BD24" s="34">
        <f>Table138[[#This Row],[Per Day Salary]]*Table138[[#This Row],[Absent]]</f>
        <v>1377.4193548387098</v>
      </c>
      <c r="BE24" s="33">
        <f>Table138[[#This Row],[Salary]]-Table138[[#This Row],[Deduction ]]</f>
        <v>4722.5806451612898</v>
      </c>
    </row>
    <row r="25" spans="7:60" x14ac:dyDescent="0.35">
      <c r="G25" s="7">
        <v>18</v>
      </c>
      <c r="H25" s="27" t="s">
        <v>53</v>
      </c>
      <c r="I25" s="7">
        <v>1018</v>
      </c>
      <c r="J25" s="15">
        <f t="shared" si="6"/>
        <v>4</v>
      </c>
      <c r="K25" s="7" t="s">
        <v>36</v>
      </c>
      <c r="L25" s="7" t="s">
        <v>36</v>
      </c>
      <c r="M25" s="7" t="s">
        <v>36</v>
      </c>
      <c r="N25" s="7" t="s">
        <v>36</v>
      </c>
      <c r="O25" s="7" t="s">
        <v>36</v>
      </c>
      <c r="P25" s="7" t="s">
        <v>58</v>
      </c>
      <c r="Q25" s="7" t="s">
        <v>56</v>
      </c>
      <c r="R25" s="7" t="s">
        <v>56</v>
      </c>
      <c r="S25" s="7" t="s">
        <v>56</v>
      </c>
      <c r="T25" s="7" t="s">
        <v>57</v>
      </c>
      <c r="U25" s="7" t="s">
        <v>36</v>
      </c>
      <c r="V25" s="7" t="s">
        <v>36</v>
      </c>
      <c r="W25" s="7" t="s">
        <v>58</v>
      </c>
      <c r="X25" s="7" t="s">
        <v>56</v>
      </c>
      <c r="Y25" s="7" t="s">
        <v>56</v>
      </c>
      <c r="Z25" s="7" t="s">
        <v>57</v>
      </c>
      <c r="AA25" s="7" t="s">
        <v>36</v>
      </c>
      <c r="AB25" s="7" t="s">
        <v>36</v>
      </c>
      <c r="AC25" s="7" t="s">
        <v>36</v>
      </c>
      <c r="AD25" s="7" t="str">
        <f t="shared" si="10"/>
        <v>WO</v>
      </c>
      <c r="AE25" s="7" t="s">
        <v>36</v>
      </c>
      <c r="AF25" s="7" t="s">
        <v>36</v>
      </c>
      <c r="AG25" s="7" t="s">
        <v>36</v>
      </c>
      <c r="AH25" s="7" t="s">
        <v>36</v>
      </c>
      <c r="AI25" s="7" t="s">
        <v>36</v>
      </c>
      <c r="AJ25" s="7" t="s">
        <v>36</v>
      </c>
      <c r="AK25" s="7" t="str">
        <f t="shared" si="10"/>
        <v>WO</v>
      </c>
      <c r="AL25" s="7" t="s">
        <v>36</v>
      </c>
      <c r="AM25" s="7" t="s">
        <v>56</v>
      </c>
      <c r="AN25" s="7" t="s">
        <v>56</v>
      </c>
      <c r="AO25" s="7" t="s">
        <v>57</v>
      </c>
      <c r="AR25" s="7">
        <v>18</v>
      </c>
      <c r="AS25" s="7" t="s">
        <v>53</v>
      </c>
      <c r="AT25" s="7" t="s">
        <v>68</v>
      </c>
      <c r="AU25" s="7">
        <v>1018</v>
      </c>
      <c r="AV25" s="30">
        <f t="shared" si="3"/>
        <v>17</v>
      </c>
      <c r="AW25" s="30">
        <f t="shared" si="8"/>
        <v>7</v>
      </c>
      <c r="AX25" s="30">
        <f t="shared" si="4"/>
        <v>3</v>
      </c>
      <c r="AY25" s="31">
        <f t="shared" si="5"/>
        <v>4</v>
      </c>
      <c r="AZ25" s="31">
        <f t="shared" si="7"/>
        <v>31</v>
      </c>
      <c r="BA25" s="32">
        <f>Table138[[#This Row],[Days]]-Table138[[#This Row],[Absent]]</f>
        <v>24</v>
      </c>
      <c r="BB25" s="33">
        <v>6200</v>
      </c>
      <c r="BC25" s="36">
        <f>Table138[[#This Row],[Salary]]/Table138[[#This Row],[Days]]</f>
        <v>200</v>
      </c>
      <c r="BD25" s="34">
        <f>Table138[[#This Row],[Per Day Salary]]*Table138[[#This Row],[Absent]]</f>
        <v>1400</v>
      </c>
      <c r="BE25" s="33">
        <f>Table138[[#This Row],[Salary]]-Table138[[#This Row],[Deduction ]]</f>
        <v>4800</v>
      </c>
    </row>
    <row r="26" spans="7:60" x14ac:dyDescent="0.35">
      <c r="G26" s="7">
        <v>19</v>
      </c>
      <c r="H26" s="27" t="s">
        <v>54</v>
      </c>
      <c r="I26" s="7">
        <v>1019</v>
      </c>
      <c r="J26" s="15">
        <f t="shared" si="6"/>
        <v>4</v>
      </c>
      <c r="K26" s="7" t="s">
        <v>36</v>
      </c>
      <c r="L26" s="7" t="s">
        <v>36</v>
      </c>
      <c r="M26" s="7" t="s">
        <v>36</v>
      </c>
      <c r="N26" s="7" t="s">
        <v>36</v>
      </c>
      <c r="O26" s="7" t="s">
        <v>36</v>
      </c>
      <c r="P26" s="7" t="s">
        <v>58</v>
      </c>
      <c r="Q26" s="7" t="s">
        <v>56</v>
      </c>
      <c r="R26" s="7" t="s">
        <v>56</v>
      </c>
      <c r="S26" s="7" t="s">
        <v>56</v>
      </c>
      <c r="T26" s="7" t="s">
        <v>57</v>
      </c>
      <c r="U26" s="7" t="s">
        <v>36</v>
      </c>
      <c r="V26" s="7" t="s">
        <v>36</v>
      </c>
      <c r="W26" s="7" t="s">
        <v>58</v>
      </c>
      <c r="X26" s="7" t="s">
        <v>56</v>
      </c>
      <c r="Y26" s="7" t="s">
        <v>56</v>
      </c>
      <c r="Z26" s="7" t="s">
        <v>57</v>
      </c>
      <c r="AA26" s="7" t="s">
        <v>36</v>
      </c>
      <c r="AB26" s="7" t="s">
        <v>36</v>
      </c>
      <c r="AC26" s="7" t="s">
        <v>36</v>
      </c>
      <c r="AD26" s="7" t="str">
        <f t="shared" si="10"/>
        <v>WO</v>
      </c>
      <c r="AE26" s="7" t="s">
        <v>36</v>
      </c>
      <c r="AF26" s="7" t="s">
        <v>36</v>
      </c>
      <c r="AG26" s="7" t="s">
        <v>36</v>
      </c>
      <c r="AH26" s="7" t="s">
        <v>36</v>
      </c>
      <c r="AI26" s="7" t="s">
        <v>36</v>
      </c>
      <c r="AJ26" s="7" t="s">
        <v>36</v>
      </c>
      <c r="AK26" s="7" t="str">
        <f t="shared" si="10"/>
        <v>WO</v>
      </c>
      <c r="AL26" s="7" t="s">
        <v>36</v>
      </c>
      <c r="AM26" s="7" t="s">
        <v>56</v>
      </c>
      <c r="AN26" s="7" t="s">
        <v>56</v>
      </c>
      <c r="AO26" s="7" t="s">
        <v>57</v>
      </c>
      <c r="AR26" s="7">
        <v>19</v>
      </c>
      <c r="AS26" s="7" t="s">
        <v>54</v>
      </c>
      <c r="AT26" s="7" t="s">
        <v>68</v>
      </c>
      <c r="AU26" s="7">
        <v>1019</v>
      </c>
      <c r="AV26" s="30">
        <f t="shared" si="3"/>
        <v>17</v>
      </c>
      <c r="AW26" s="30">
        <f t="shared" si="8"/>
        <v>7</v>
      </c>
      <c r="AX26" s="30">
        <f t="shared" si="4"/>
        <v>3</v>
      </c>
      <c r="AY26" s="31">
        <f t="shared" si="5"/>
        <v>4</v>
      </c>
      <c r="AZ26" s="31">
        <f t="shared" si="7"/>
        <v>31</v>
      </c>
      <c r="BA26" s="1">
        <f>Table138[[#This Row],[Days]]-Table138[[#This Row],[Absent]]</f>
        <v>24</v>
      </c>
      <c r="BB26" s="33">
        <v>6300</v>
      </c>
      <c r="BC26" s="36">
        <f>Table138[[#This Row],[Salary]]/Table138[[#This Row],[Days]]</f>
        <v>203.2258064516129</v>
      </c>
      <c r="BD26" s="34">
        <f>Table138[[#This Row],[Per Day Salary]]*Table138[[#This Row],[Absent]]</f>
        <v>1422.5806451612902</v>
      </c>
      <c r="BE26" s="33">
        <f>Table138[[#This Row],[Salary]]-Table138[[#This Row],[Deduction ]]</f>
        <v>4877.4193548387102</v>
      </c>
    </row>
    <row r="27" spans="7:60" x14ac:dyDescent="0.35">
      <c r="G27" s="7">
        <v>20</v>
      </c>
      <c r="H27" s="27" t="s">
        <v>55</v>
      </c>
      <c r="I27" s="7">
        <v>1020</v>
      </c>
      <c r="J27" s="15">
        <f t="shared" si="6"/>
        <v>4</v>
      </c>
      <c r="K27" s="7" t="s">
        <v>36</v>
      </c>
      <c r="L27" s="7" t="s">
        <v>36</v>
      </c>
      <c r="M27" s="7" t="s">
        <v>36</v>
      </c>
      <c r="N27" s="7" t="s">
        <v>36</v>
      </c>
      <c r="O27" s="7" t="s">
        <v>36</v>
      </c>
      <c r="P27" s="7" t="s">
        <v>58</v>
      </c>
      <c r="Q27" s="7" t="s">
        <v>56</v>
      </c>
      <c r="R27" s="7" t="s">
        <v>56</v>
      </c>
      <c r="S27" s="7" t="s">
        <v>56</v>
      </c>
      <c r="T27" s="7" t="s">
        <v>57</v>
      </c>
      <c r="U27" s="7" t="s">
        <v>36</v>
      </c>
      <c r="V27" s="7" t="s">
        <v>36</v>
      </c>
      <c r="W27" s="7" t="s">
        <v>58</v>
      </c>
      <c r="X27" s="7" t="s">
        <v>56</v>
      </c>
      <c r="Y27" s="7" t="s">
        <v>56</v>
      </c>
      <c r="Z27" s="7" t="s">
        <v>57</v>
      </c>
      <c r="AA27" s="7" t="s">
        <v>36</v>
      </c>
      <c r="AB27" s="7" t="s">
        <v>36</v>
      </c>
      <c r="AC27" s="7" t="s">
        <v>36</v>
      </c>
      <c r="AD27" s="7" t="str">
        <f t="shared" si="10"/>
        <v>WO</v>
      </c>
      <c r="AE27" s="7" t="s">
        <v>36</v>
      </c>
      <c r="AF27" s="7" t="s">
        <v>36</v>
      </c>
      <c r="AG27" s="7" t="s">
        <v>36</v>
      </c>
      <c r="AH27" s="7" t="s">
        <v>36</v>
      </c>
      <c r="AI27" s="7" t="s">
        <v>36</v>
      </c>
      <c r="AJ27" s="7" t="s">
        <v>36</v>
      </c>
      <c r="AK27" s="7" t="str">
        <f t="shared" si="10"/>
        <v>WO</v>
      </c>
      <c r="AL27" s="7" t="s">
        <v>36</v>
      </c>
      <c r="AM27" s="7" t="s">
        <v>56</v>
      </c>
      <c r="AN27" s="7" t="s">
        <v>56</v>
      </c>
      <c r="AO27" s="7" t="s">
        <v>57</v>
      </c>
      <c r="AR27" s="7">
        <v>20</v>
      </c>
      <c r="AS27" s="7" t="s">
        <v>55</v>
      </c>
      <c r="AT27" s="7" t="s">
        <v>68</v>
      </c>
      <c r="AU27" s="7">
        <v>1020</v>
      </c>
      <c r="AV27" s="30">
        <f t="shared" si="3"/>
        <v>17</v>
      </c>
      <c r="AW27" s="30">
        <f t="shared" si="8"/>
        <v>7</v>
      </c>
      <c r="AX27" s="30">
        <f t="shared" si="4"/>
        <v>3</v>
      </c>
      <c r="AY27" s="31">
        <f t="shared" si="5"/>
        <v>4</v>
      </c>
      <c r="AZ27" s="31">
        <f t="shared" si="7"/>
        <v>31</v>
      </c>
      <c r="BA27" s="32">
        <f>Table138[[#This Row],[Days]]-Table138[[#This Row],[Absent]]</f>
        <v>24</v>
      </c>
      <c r="BB27" s="33">
        <v>6400</v>
      </c>
      <c r="BC27" s="36">
        <f>Table138[[#This Row],[Salary]]/Table138[[#This Row],[Days]]</f>
        <v>206.45161290322579</v>
      </c>
      <c r="BD27" s="34">
        <f>Table138[[#This Row],[Per Day Salary]]*Table138[[#This Row],[Absent]]</f>
        <v>1445.1612903225805</v>
      </c>
      <c r="BE27" s="33">
        <f>Table138[[#This Row],[Salary]]-Table138[[#This Row],[Deduction ]]</f>
        <v>4954.8387096774195</v>
      </c>
    </row>
    <row r="28" spans="7:60" x14ac:dyDescent="0.35">
      <c r="L28" s="6"/>
      <c r="S28" s="6"/>
    </row>
  </sheetData>
  <mergeCells count="1">
    <mergeCell ref="G6:I6"/>
  </mergeCells>
  <phoneticPr fontId="2" type="noConversion"/>
  <conditionalFormatting sqref="F5">
    <cfRule type="containsText" dxfId="29" priority="4" operator="containsText" text="P">
      <formula>NOT(ISERROR(SEARCH("P",F5)))</formula>
    </cfRule>
  </conditionalFormatting>
  <conditionalFormatting sqref="K8:AO27">
    <cfRule type="containsText" dxfId="28" priority="1" operator="containsText" text="L">
      <formula>NOT(ISERROR(SEARCH("L",K8)))</formula>
    </cfRule>
    <cfRule type="containsText" dxfId="27" priority="2" operator="containsText" text="A">
      <formula>NOT(ISERROR(SEARCH("A",K8)))</formula>
    </cfRule>
    <cfRule type="containsText" dxfId="26" priority="3" operator="containsText" text="P">
      <formula>NOT(ISERROR(SEARCH("P",K8)))</formula>
    </cfRule>
    <cfRule type="containsText" dxfId="25" priority="5" operator="containsText" text="WO">
      <formula>NOT(ISERROR(SEARCH("WO",K8)))</formula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1F7A8B9-263E-433D-8A84-FC3074E15739}">
          <x14:formula1>
            <xm:f>Sheet1!$J$2:$J$13</xm:f>
          </x14:formula1>
          <xm:sqref>G5</xm:sqref>
        </x14:dataValidation>
        <x14:dataValidation type="list" allowBlank="1" showInputMessage="1" showErrorMessage="1" xr:uid="{3DBCE039-4C80-4014-8CE8-594008F9B359}">
          <x14:formula1>
            <xm:f>Sheet1!$E$2:$E$13</xm:f>
          </x14:formula1>
          <xm:sqref>I5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C36CC-C6F4-4E6C-8D4C-92112D22B7B1}">
  <sheetPr codeName="Sheet9"/>
  <dimension ref="F4:BN34"/>
  <sheetViews>
    <sheetView showGridLines="0" zoomScale="60" zoomScaleNormal="60" workbookViewId="0">
      <selection activeCell="H13" sqref="H13"/>
    </sheetView>
  </sheetViews>
  <sheetFormatPr defaultRowHeight="14.5" x14ac:dyDescent="0.35"/>
  <cols>
    <col min="7" max="7" width="12.54296875" bestFit="1" customWidth="1"/>
    <col min="8" max="8" width="11.7265625" bestFit="1" customWidth="1"/>
    <col min="9" max="9" width="12.26953125" customWidth="1"/>
    <col min="10" max="10" width="8.453125" bestFit="1" customWidth="1"/>
    <col min="11" max="11" width="3.453125" bestFit="1" customWidth="1"/>
    <col min="12" max="12" width="3.7265625" bestFit="1" customWidth="1"/>
    <col min="13" max="13" width="5.54296875" customWidth="1"/>
    <col min="14" max="14" width="3.7265625" bestFit="1" customWidth="1"/>
    <col min="15" max="15" width="4.453125" bestFit="1" customWidth="1"/>
    <col min="16" max="16" width="3.7265625" bestFit="1" customWidth="1"/>
    <col min="17" max="17" width="2.81640625" bestFit="1" customWidth="1"/>
    <col min="18" max="18" width="3.453125" bestFit="1" customWidth="1"/>
    <col min="19" max="19" width="3.7265625" bestFit="1" customWidth="1"/>
    <col min="20" max="20" width="4.453125" bestFit="1" customWidth="1"/>
    <col min="21" max="21" width="3.7265625" bestFit="1" customWidth="1"/>
    <col min="22" max="22" width="4.453125" bestFit="1" customWidth="1"/>
    <col min="23" max="23" width="3.7265625" bestFit="1" customWidth="1"/>
    <col min="24" max="24" width="2.81640625" bestFit="1" customWidth="1"/>
    <col min="25" max="25" width="3.453125" bestFit="1" customWidth="1"/>
    <col min="26" max="26" width="3.7265625" bestFit="1" customWidth="1"/>
    <col min="27" max="27" width="4.453125" bestFit="1" customWidth="1"/>
    <col min="28" max="28" width="3.7265625" bestFit="1" customWidth="1"/>
    <col min="29" max="29" width="4.453125" bestFit="1" customWidth="1"/>
    <col min="30" max="30" width="3.7265625" bestFit="1" customWidth="1"/>
    <col min="31" max="31" width="2.81640625" bestFit="1" customWidth="1"/>
    <col min="32" max="32" width="3.453125" bestFit="1" customWidth="1"/>
    <col min="33" max="33" width="3.7265625" bestFit="1" customWidth="1"/>
    <col min="34" max="34" width="4.453125" bestFit="1" customWidth="1"/>
    <col min="35" max="35" width="3.7265625" bestFit="1" customWidth="1"/>
    <col min="36" max="36" width="4.453125" bestFit="1" customWidth="1"/>
    <col min="37" max="37" width="3.7265625" bestFit="1" customWidth="1"/>
    <col min="38" max="38" width="2.81640625" bestFit="1" customWidth="1"/>
    <col min="39" max="39" width="3.453125" bestFit="1" customWidth="1"/>
    <col min="40" max="40" width="4.1796875" bestFit="1" customWidth="1"/>
    <col min="41" max="41" width="5.08984375" customWidth="1"/>
    <col min="45" max="46" width="10.453125" customWidth="1"/>
    <col min="47" max="47" width="12.81640625" customWidth="1"/>
    <col min="48" max="48" width="9.453125" customWidth="1"/>
    <col min="49" max="49" width="8.90625" customWidth="1"/>
    <col min="51" max="51" width="10.453125" customWidth="1"/>
    <col min="53" max="53" width="10.7265625" customWidth="1"/>
    <col min="54" max="54" width="10.7265625" bestFit="1" customWidth="1"/>
    <col min="55" max="55" width="14.36328125" customWidth="1"/>
    <col min="56" max="56" width="12" customWidth="1"/>
    <col min="57" max="57" width="12.54296875" customWidth="1"/>
  </cols>
  <sheetData>
    <row r="4" spans="6:66" x14ac:dyDescent="0.35">
      <c r="F4" s="21"/>
      <c r="G4" s="21"/>
      <c r="H4" s="21"/>
      <c r="I4" s="22">
        <f>G5</f>
        <v>45870</v>
      </c>
      <c r="J4" s="21"/>
      <c r="K4" s="21"/>
      <c r="L4" s="21"/>
    </row>
    <row r="5" spans="6:66" ht="15" thickBot="1" x14ac:dyDescent="0.4">
      <c r="F5" s="21" t="s">
        <v>23</v>
      </c>
      <c r="G5" s="26">
        <v>45870</v>
      </c>
      <c r="H5" s="24">
        <f>G5</f>
        <v>45870</v>
      </c>
      <c r="I5" s="24"/>
      <c r="J5" s="21"/>
      <c r="K5" s="21"/>
      <c r="L5" s="21" t="s">
        <v>25</v>
      </c>
      <c r="M5" s="23">
        <f>EOMONTH(G5,0)</f>
        <v>45900</v>
      </c>
      <c r="O5" s="3"/>
    </row>
    <row r="6" spans="6:66" ht="16.5" thickBot="1" x14ac:dyDescent="0.45">
      <c r="G6" s="50" t="s">
        <v>27</v>
      </c>
      <c r="H6" s="51"/>
      <c r="I6" s="52"/>
      <c r="J6" s="11" t="s">
        <v>26</v>
      </c>
      <c r="K6" s="12" t="str">
        <f>TEXT(K7,"ddd")</f>
        <v>Fri</v>
      </c>
      <c r="L6" s="12" t="str">
        <f t="shared" ref="L6:AN6" si="0">TEXT(L7,"ddd")</f>
        <v>Sat</v>
      </c>
      <c r="M6" s="12" t="str">
        <f t="shared" si="0"/>
        <v>Sun</v>
      </c>
      <c r="N6" s="12" t="str">
        <f t="shared" si="0"/>
        <v>Mon</v>
      </c>
      <c r="O6" s="12" t="str">
        <f t="shared" si="0"/>
        <v>Tue</v>
      </c>
      <c r="P6" s="12" t="str">
        <f t="shared" si="0"/>
        <v>Wed</v>
      </c>
      <c r="Q6" s="12" t="str">
        <f t="shared" si="0"/>
        <v>Thu</v>
      </c>
      <c r="R6" s="12" t="str">
        <f t="shared" si="0"/>
        <v>Fri</v>
      </c>
      <c r="S6" s="12" t="str">
        <f t="shared" si="0"/>
        <v>Sat</v>
      </c>
      <c r="T6" s="12" t="str">
        <f t="shared" si="0"/>
        <v>Sun</v>
      </c>
      <c r="U6" s="12" t="str">
        <f t="shared" si="0"/>
        <v>Mon</v>
      </c>
      <c r="V6" s="12" t="str">
        <f t="shared" si="0"/>
        <v>Tue</v>
      </c>
      <c r="W6" s="12" t="str">
        <f t="shared" si="0"/>
        <v>Wed</v>
      </c>
      <c r="X6" s="12" t="str">
        <f t="shared" si="0"/>
        <v>Thu</v>
      </c>
      <c r="Y6" s="12" t="str">
        <f t="shared" si="0"/>
        <v>Fri</v>
      </c>
      <c r="Z6" s="12" t="str">
        <f t="shared" si="0"/>
        <v>Sat</v>
      </c>
      <c r="AA6" s="12" t="str">
        <f t="shared" si="0"/>
        <v>Sun</v>
      </c>
      <c r="AB6" s="12" t="str">
        <f t="shared" si="0"/>
        <v>Mon</v>
      </c>
      <c r="AC6" s="12" t="str">
        <f t="shared" si="0"/>
        <v>Tue</v>
      </c>
      <c r="AD6" s="12" t="str">
        <f t="shared" si="0"/>
        <v>Wed</v>
      </c>
      <c r="AE6" s="12" t="str">
        <f t="shared" si="0"/>
        <v>Thu</v>
      </c>
      <c r="AF6" s="12" t="str">
        <f t="shared" si="0"/>
        <v>Fri</v>
      </c>
      <c r="AG6" s="12" t="str">
        <f t="shared" si="0"/>
        <v>Sat</v>
      </c>
      <c r="AH6" s="12" t="str">
        <f t="shared" si="0"/>
        <v>Sun</v>
      </c>
      <c r="AI6" s="12" t="str">
        <f t="shared" si="0"/>
        <v>Mon</v>
      </c>
      <c r="AJ6" s="12" t="str">
        <f t="shared" si="0"/>
        <v>Tue</v>
      </c>
      <c r="AK6" s="12" t="str">
        <f t="shared" si="0"/>
        <v>Wed</v>
      </c>
      <c r="AL6" s="12" t="str">
        <f t="shared" si="0"/>
        <v>Thu</v>
      </c>
      <c r="AM6" s="13" t="str">
        <f t="shared" si="0"/>
        <v>Fri</v>
      </c>
      <c r="AN6" s="13" t="str">
        <f t="shared" si="0"/>
        <v>Sat</v>
      </c>
      <c r="AO6" s="14" t="str">
        <f>TEXT(AO7,"ddd")</f>
        <v>Sun</v>
      </c>
    </row>
    <row r="7" spans="6:66" ht="14.15" customHeight="1" x14ac:dyDescent="0.35">
      <c r="G7" s="25" t="s">
        <v>0</v>
      </c>
      <c r="H7" s="25" t="s">
        <v>1</v>
      </c>
      <c r="I7" s="25" t="s">
        <v>2</v>
      </c>
      <c r="J7" s="8" t="s">
        <v>24</v>
      </c>
      <c r="K7" s="9">
        <f>G5</f>
        <v>45870</v>
      </c>
      <c r="L7" s="9">
        <f>IF(K7&lt;$M$5,1+K7,"")</f>
        <v>45871</v>
      </c>
      <c r="M7" s="9">
        <f t="shared" ref="M7:AL7" si="1">IF(L7&lt;$M$5,1+L7,"")</f>
        <v>45872</v>
      </c>
      <c r="N7" s="9">
        <f t="shared" si="1"/>
        <v>45873</v>
      </c>
      <c r="O7" s="9">
        <f t="shared" si="1"/>
        <v>45874</v>
      </c>
      <c r="P7" s="9">
        <f t="shared" si="1"/>
        <v>45875</v>
      </c>
      <c r="Q7" s="9">
        <f t="shared" si="1"/>
        <v>45876</v>
      </c>
      <c r="R7" s="9">
        <f t="shared" si="1"/>
        <v>45877</v>
      </c>
      <c r="S7" s="9">
        <f t="shared" si="1"/>
        <v>45878</v>
      </c>
      <c r="T7" s="9">
        <f t="shared" si="1"/>
        <v>45879</v>
      </c>
      <c r="U7" s="9">
        <f t="shared" si="1"/>
        <v>45880</v>
      </c>
      <c r="V7" s="9">
        <f t="shared" si="1"/>
        <v>45881</v>
      </c>
      <c r="W7" s="9">
        <f t="shared" si="1"/>
        <v>45882</v>
      </c>
      <c r="X7" s="9">
        <f t="shared" si="1"/>
        <v>45883</v>
      </c>
      <c r="Y7" s="9">
        <f t="shared" si="1"/>
        <v>45884</v>
      </c>
      <c r="Z7" s="9">
        <f t="shared" si="1"/>
        <v>45885</v>
      </c>
      <c r="AA7" s="9">
        <f>IF(Z7&lt;$M$5,1+Z7,"")</f>
        <v>45886</v>
      </c>
      <c r="AB7" s="9">
        <f t="shared" si="1"/>
        <v>45887</v>
      </c>
      <c r="AC7" s="9">
        <f t="shared" si="1"/>
        <v>45888</v>
      </c>
      <c r="AD7" s="9">
        <f t="shared" si="1"/>
        <v>45889</v>
      </c>
      <c r="AE7" s="9">
        <f t="shared" si="1"/>
        <v>45890</v>
      </c>
      <c r="AF7" s="9">
        <f t="shared" si="1"/>
        <v>45891</v>
      </c>
      <c r="AG7" s="9">
        <f t="shared" si="1"/>
        <v>45892</v>
      </c>
      <c r="AH7" s="9">
        <f t="shared" si="1"/>
        <v>45893</v>
      </c>
      <c r="AI7" s="9">
        <f t="shared" si="1"/>
        <v>45894</v>
      </c>
      <c r="AJ7" s="9">
        <f t="shared" si="1"/>
        <v>45895</v>
      </c>
      <c r="AK7" s="9">
        <f t="shared" si="1"/>
        <v>45896</v>
      </c>
      <c r="AL7" s="9">
        <f t="shared" si="1"/>
        <v>45897</v>
      </c>
      <c r="AM7" s="9">
        <f>IF(AL7&lt;$M$5,1+AL7,"")</f>
        <v>45898</v>
      </c>
      <c r="AN7" s="9">
        <f>IF(AM7&lt;$M$5,1+AM7,"")</f>
        <v>45899</v>
      </c>
      <c r="AO7" s="10">
        <f>IF(AN7&lt;$M$5,1+AN7,"")</f>
        <v>45900</v>
      </c>
      <c r="AP7" s="5"/>
      <c r="AQ7" s="5"/>
      <c r="AR7" s="18" t="s">
        <v>0</v>
      </c>
      <c r="AS7" s="18" t="s">
        <v>1</v>
      </c>
      <c r="AT7" s="18" t="s">
        <v>72</v>
      </c>
      <c r="AU7" s="18" t="s">
        <v>2</v>
      </c>
      <c r="AV7" s="17" t="s">
        <v>28</v>
      </c>
      <c r="AW7" s="17" t="s">
        <v>29</v>
      </c>
      <c r="AX7" s="17" t="s">
        <v>30</v>
      </c>
      <c r="AY7" s="17" t="s">
        <v>24</v>
      </c>
      <c r="AZ7" s="17" t="s">
        <v>26</v>
      </c>
      <c r="BA7" s="17" t="s">
        <v>31</v>
      </c>
      <c r="BB7" s="17" t="s">
        <v>32</v>
      </c>
      <c r="BC7" s="17" t="s">
        <v>33</v>
      </c>
      <c r="BD7" s="17" t="s">
        <v>34</v>
      </c>
      <c r="BE7" s="17" t="s">
        <v>35</v>
      </c>
      <c r="BF7" s="16"/>
      <c r="BG7" s="5"/>
      <c r="BH7" s="5"/>
      <c r="BI7" s="5"/>
      <c r="BJ7" s="5"/>
      <c r="BK7" s="5"/>
      <c r="BL7" s="5"/>
      <c r="BM7" s="5"/>
      <c r="BN7" s="5"/>
    </row>
    <row r="8" spans="6:66" ht="14.15" customHeight="1" x14ac:dyDescent="0.35">
      <c r="G8" s="7">
        <v>1</v>
      </c>
      <c r="H8" s="27" t="s">
        <v>37</v>
      </c>
      <c r="I8" s="7">
        <v>1001</v>
      </c>
      <c r="J8" s="15">
        <f>COUNTIF(K$6:AO$6,"Sun")</f>
        <v>5</v>
      </c>
      <c r="K8" s="7" t="s">
        <v>36</v>
      </c>
      <c r="L8" s="7" t="s">
        <v>36</v>
      </c>
      <c r="M8" s="7" t="s">
        <v>58</v>
      </c>
      <c r="N8" s="7" t="s">
        <v>36</v>
      </c>
      <c r="O8" s="7" t="s">
        <v>36</v>
      </c>
      <c r="P8" s="20" t="s">
        <v>36</v>
      </c>
      <c r="Q8" s="20" t="s">
        <v>56</v>
      </c>
      <c r="R8" s="20" t="s">
        <v>56</v>
      </c>
      <c r="S8" s="20" t="s">
        <v>56</v>
      </c>
      <c r="T8" s="7" t="s">
        <v>58</v>
      </c>
      <c r="U8" s="7" t="s">
        <v>36</v>
      </c>
      <c r="V8" s="7" t="s">
        <v>36</v>
      </c>
      <c r="W8" s="7" t="s">
        <v>36</v>
      </c>
      <c r="X8" s="7" t="s">
        <v>56</v>
      </c>
      <c r="Y8" s="7" t="s">
        <v>56</v>
      </c>
      <c r="Z8" s="7" t="s">
        <v>57</v>
      </c>
      <c r="AA8" s="7" t="s">
        <v>58</v>
      </c>
      <c r="AB8" s="7" t="s">
        <v>36</v>
      </c>
      <c r="AC8" s="7" t="s">
        <v>36</v>
      </c>
      <c r="AD8" s="7" t="s">
        <v>57</v>
      </c>
      <c r="AE8" s="7" t="s">
        <v>36</v>
      </c>
      <c r="AF8" s="7" t="s">
        <v>36</v>
      </c>
      <c r="AG8" s="7" t="s">
        <v>36</v>
      </c>
      <c r="AH8" s="7" t="s">
        <v>58</v>
      </c>
      <c r="AI8" s="7" t="s">
        <v>36</v>
      </c>
      <c r="AJ8" s="7" t="s">
        <v>36</v>
      </c>
      <c r="AK8" s="7" t="s">
        <v>36</v>
      </c>
      <c r="AL8" s="7" t="s">
        <v>36</v>
      </c>
      <c r="AM8" s="7" t="s">
        <v>56</v>
      </c>
      <c r="AN8" s="7" t="s">
        <v>56</v>
      </c>
      <c r="AO8" s="7" t="s">
        <v>58</v>
      </c>
      <c r="AP8" s="5"/>
      <c r="AQ8" s="5"/>
      <c r="AR8" s="7">
        <v>1</v>
      </c>
      <c r="AS8" s="29" t="s">
        <v>37</v>
      </c>
      <c r="AT8" s="7" t="s">
        <v>69</v>
      </c>
      <c r="AU8" s="7">
        <v>1001</v>
      </c>
      <c r="AV8" s="30">
        <f t="shared" ref="AV8:AV27" si="2">COUNTIF($K8:$AO8,"P")</f>
        <v>17</v>
      </c>
      <c r="AW8" s="30">
        <f>COUNTIF($K8:$AO8,"A")</f>
        <v>7</v>
      </c>
      <c r="AX8" s="30">
        <f t="shared" ref="AX8:AX27" si="3">COUNTIF($K8:$AO8,"L")</f>
        <v>2</v>
      </c>
      <c r="AY8" s="31">
        <f t="shared" ref="AY8:AY27" si="4">COUNTIF($K8:$AO8,"WO")</f>
        <v>5</v>
      </c>
      <c r="AZ8" s="31">
        <f>($M$5-$H$5)+1</f>
        <v>31</v>
      </c>
      <c r="BA8" s="32">
        <f>Table139[[#This Row],[Days]]-Table139[[#This Row],[Absent]]</f>
        <v>24</v>
      </c>
      <c r="BB8" s="33">
        <v>4500</v>
      </c>
      <c r="BC8" s="36">
        <f>Table139[[#This Row],[Salary]]/Table139[[#This Row],[Days]]</f>
        <v>145.16129032258064</v>
      </c>
      <c r="BD8" s="34">
        <f>Table139[[#This Row],[Per Day Salary]]*Table139[[#This Row],[Absent]]</f>
        <v>1016.1290322580645</v>
      </c>
      <c r="BE8" s="33">
        <f>Table139[[#This Row],[Salary]]-Table139[[#This Row],[Deduction ]]</f>
        <v>3483.8709677419356</v>
      </c>
      <c r="BF8" s="5"/>
      <c r="BG8" s="5"/>
      <c r="BH8" s="5"/>
      <c r="BI8" s="5"/>
      <c r="BJ8" s="5"/>
      <c r="BK8" s="5"/>
      <c r="BL8" s="5"/>
    </row>
    <row r="9" spans="6:66" ht="13.5" customHeight="1" x14ac:dyDescent="0.35">
      <c r="G9" s="7">
        <v>2</v>
      </c>
      <c r="H9" s="27" t="s">
        <v>38</v>
      </c>
      <c r="I9" s="7">
        <v>1002</v>
      </c>
      <c r="J9" s="15">
        <f t="shared" ref="J9:J27" si="5">COUNTIF(K$6:AO$6,"Sun")</f>
        <v>5</v>
      </c>
      <c r="K9" s="7" t="s">
        <v>36</v>
      </c>
      <c r="L9" s="7" t="s">
        <v>36</v>
      </c>
      <c r="M9" s="7" t="s">
        <v>58</v>
      </c>
      <c r="N9" s="7" t="s">
        <v>36</v>
      </c>
      <c r="O9" s="7" t="s">
        <v>36</v>
      </c>
      <c r="P9" s="20" t="s">
        <v>36</v>
      </c>
      <c r="Q9" s="20" t="s">
        <v>56</v>
      </c>
      <c r="R9" s="20" t="s">
        <v>56</v>
      </c>
      <c r="S9" s="20" t="s">
        <v>56</v>
      </c>
      <c r="T9" s="7" t="s">
        <v>58</v>
      </c>
      <c r="U9" s="7" t="s">
        <v>36</v>
      </c>
      <c r="V9" s="7" t="s">
        <v>36</v>
      </c>
      <c r="W9" s="7" t="s">
        <v>36</v>
      </c>
      <c r="X9" s="7" t="s">
        <v>56</v>
      </c>
      <c r="Y9" s="7" t="s">
        <v>56</v>
      </c>
      <c r="Z9" s="7" t="s">
        <v>57</v>
      </c>
      <c r="AA9" s="7" t="s">
        <v>58</v>
      </c>
      <c r="AB9" s="7" t="s">
        <v>36</v>
      </c>
      <c r="AC9" s="7" t="s">
        <v>36</v>
      </c>
      <c r="AD9" s="7" t="s">
        <v>57</v>
      </c>
      <c r="AE9" s="7" t="s">
        <v>36</v>
      </c>
      <c r="AF9" s="7" t="s">
        <v>36</v>
      </c>
      <c r="AG9" s="7" t="s">
        <v>36</v>
      </c>
      <c r="AH9" s="7" t="s">
        <v>58</v>
      </c>
      <c r="AI9" s="7" t="s">
        <v>36</v>
      </c>
      <c r="AJ9" s="7" t="s">
        <v>36</v>
      </c>
      <c r="AK9" s="7" t="s">
        <v>36</v>
      </c>
      <c r="AL9" s="7" t="s">
        <v>36</v>
      </c>
      <c r="AM9" s="7" t="s">
        <v>56</v>
      </c>
      <c r="AN9" s="7" t="s">
        <v>56</v>
      </c>
      <c r="AO9" s="7" t="s">
        <v>58</v>
      </c>
      <c r="AP9" s="5"/>
      <c r="AQ9" s="5"/>
      <c r="AR9" s="7">
        <v>2</v>
      </c>
      <c r="AS9" s="7" t="s">
        <v>38</v>
      </c>
      <c r="AT9" s="7" t="s">
        <v>69</v>
      </c>
      <c r="AU9" s="7">
        <v>1002</v>
      </c>
      <c r="AV9" s="30">
        <f t="shared" si="2"/>
        <v>17</v>
      </c>
      <c r="AW9" s="30">
        <f>COUNTIF($K9:$AO9,"A")</f>
        <v>7</v>
      </c>
      <c r="AX9" s="35">
        <f t="shared" si="3"/>
        <v>2</v>
      </c>
      <c r="AY9" s="31">
        <f t="shared" si="4"/>
        <v>5</v>
      </c>
      <c r="AZ9" s="31">
        <f t="shared" ref="AZ9:AZ27" si="6">($M$5-$H$5)+1</f>
        <v>31</v>
      </c>
      <c r="BA9" s="32">
        <f>Table139[[#This Row],[Days]]-Table139[[#This Row],[Absent]]</f>
        <v>24</v>
      </c>
      <c r="BB9" s="33">
        <v>4600</v>
      </c>
      <c r="BC9" s="36">
        <f>Table139[[#This Row],[Salary]]/Table139[[#This Row],[Days]]</f>
        <v>148.38709677419354</v>
      </c>
      <c r="BD9" s="34">
        <f>Table139[[#This Row],[Per Day Salary]]*Table139[[#This Row],[Absent]]</f>
        <v>1038.7096774193546</v>
      </c>
      <c r="BE9" s="33">
        <f>Table139[[#This Row],[Salary]]-Table139[[#This Row],[Deduction ]]</f>
        <v>3561.2903225806454</v>
      </c>
      <c r="BF9" s="5"/>
      <c r="BG9" s="5"/>
      <c r="BH9" s="5"/>
      <c r="BI9" s="5"/>
      <c r="BJ9" s="5"/>
      <c r="BK9" s="5"/>
      <c r="BL9" s="5"/>
    </row>
    <row r="10" spans="6:66" ht="13.5" customHeight="1" x14ac:dyDescent="0.35">
      <c r="G10" s="7">
        <v>3</v>
      </c>
      <c r="H10" s="27" t="s">
        <v>39</v>
      </c>
      <c r="I10" s="7">
        <v>1003</v>
      </c>
      <c r="J10" s="15">
        <f t="shared" si="5"/>
        <v>5</v>
      </c>
      <c r="K10" s="7" t="s">
        <v>36</v>
      </c>
      <c r="L10" s="7" t="s">
        <v>36</v>
      </c>
      <c r="M10" s="7" t="s">
        <v>58</v>
      </c>
      <c r="N10" s="7" t="s">
        <v>36</v>
      </c>
      <c r="O10" s="7" t="s">
        <v>36</v>
      </c>
      <c r="P10" s="20" t="s">
        <v>36</v>
      </c>
      <c r="Q10" s="20" t="s">
        <v>56</v>
      </c>
      <c r="R10" s="20" t="s">
        <v>56</v>
      </c>
      <c r="S10" s="20" t="s">
        <v>56</v>
      </c>
      <c r="T10" s="7" t="s">
        <v>58</v>
      </c>
      <c r="U10" s="7" t="s">
        <v>36</v>
      </c>
      <c r="V10" s="7" t="s">
        <v>36</v>
      </c>
      <c r="W10" s="7" t="s">
        <v>36</v>
      </c>
      <c r="X10" s="7" t="s">
        <v>56</v>
      </c>
      <c r="Y10" s="7" t="s">
        <v>56</v>
      </c>
      <c r="Z10" s="7" t="s">
        <v>57</v>
      </c>
      <c r="AA10" s="7" t="s">
        <v>58</v>
      </c>
      <c r="AB10" s="7" t="s">
        <v>36</v>
      </c>
      <c r="AC10" s="7" t="s">
        <v>36</v>
      </c>
      <c r="AD10" s="7" t="s">
        <v>57</v>
      </c>
      <c r="AE10" s="7" t="s">
        <v>36</v>
      </c>
      <c r="AF10" s="7" t="s">
        <v>36</v>
      </c>
      <c r="AG10" s="7" t="s">
        <v>36</v>
      </c>
      <c r="AH10" s="7" t="s">
        <v>58</v>
      </c>
      <c r="AI10" s="7" t="s">
        <v>36</v>
      </c>
      <c r="AJ10" s="7" t="s">
        <v>36</v>
      </c>
      <c r="AK10" s="7" t="s">
        <v>36</v>
      </c>
      <c r="AL10" s="7" t="s">
        <v>36</v>
      </c>
      <c r="AM10" s="7" t="s">
        <v>56</v>
      </c>
      <c r="AN10" s="7" t="s">
        <v>56</v>
      </c>
      <c r="AO10" s="7" t="s">
        <v>58</v>
      </c>
      <c r="AP10" s="5"/>
      <c r="AQ10" s="5"/>
      <c r="AR10" s="7">
        <v>3</v>
      </c>
      <c r="AS10" s="7" t="s">
        <v>39</v>
      </c>
      <c r="AT10" s="7" t="s">
        <v>69</v>
      </c>
      <c r="AU10" s="7">
        <v>1003</v>
      </c>
      <c r="AV10" s="30">
        <f t="shared" si="2"/>
        <v>17</v>
      </c>
      <c r="AW10" s="30">
        <f t="shared" ref="AW10:AW27" si="7">COUNTIF($K10:$AO10,"A")</f>
        <v>7</v>
      </c>
      <c r="AX10" s="30">
        <f t="shared" si="3"/>
        <v>2</v>
      </c>
      <c r="AY10" s="31">
        <f t="shared" si="4"/>
        <v>5</v>
      </c>
      <c r="AZ10" s="31">
        <f t="shared" si="6"/>
        <v>31</v>
      </c>
      <c r="BA10" s="32">
        <f>Table139[[#This Row],[Days]]-Table139[[#This Row],[Absent]]</f>
        <v>24</v>
      </c>
      <c r="BB10" s="33">
        <v>4700</v>
      </c>
      <c r="BC10" s="36">
        <f>Table139[[#This Row],[Salary]]/Table139[[#This Row],[Days]]</f>
        <v>151.61290322580646</v>
      </c>
      <c r="BD10" s="34">
        <f>Table139[[#This Row],[Per Day Salary]]*Table139[[#This Row],[Absent]]</f>
        <v>1061.2903225806454</v>
      </c>
      <c r="BE10" s="33">
        <f>Table139[[#This Row],[Salary]]-Table139[[#This Row],[Deduction ]]</f>
        <v>3638.7096774193546</v>
      </c>
      <c r="BF10" s="5"/>
      <c r="BG10" s="5"/>
      <c r="BH10" s="5"/>
      <c r="BI10" s="5"/>
      <c r="BJ10" s="5"/>
      <c r="BK10" s="5"/>
      <c r="BL10" s="5"/>
    </row>
    <row r="11" spans="6:66" ht="14.5" customHeight="1" x14ac:dyDescent="0.35">
      <c r="G11" s="7">
        <v>4</v>
      </c>
      <c r="H11" s="27" t="s">
        <v>59</v>
      </c>
      <c r="I11" s="7">
        <v>1004</v>
      </c>
      <c r="J11" s="15">
        <f t="shared" si="5"/>
        <v>5</v>
      </c>
      <c r="K11" s="7" t="s">
        <v>36</v>
      </c>
      <c r="L11" s="7" t="s">
        <v>36</v>
      </c>
      <c r="M11" s="7" t="s">
        <v>58</v>
      </c>
      <c r="N11" s="7" t="s">
        <v>36</v>
      </c>
      <c r="O11" s="7" t="s">
        <v>36</v>
      </c>
      <c r="P11" s="20" t="s">
        <v>36</v>
      </c>
      <c r="Q11" s="20" t="s">
        <v>56</v>
      </c>
      <c r="R11" s="20" t="s">
        <v>56</v>
      </c>
      <c r="S11" s="20" t="s">
        <v>56</v>
      </c>
      <c r="T11" s="7" t="s">
        <v>58</v>
      </c>
      <c r="U11" s="7" t="s">
        <v>36</v>
      </c>
      <c r="V11" s="7" t="s">
        <v>36</v>
      </c>
      <c r="W11" s="7" t="s">
        <v>36</v>
      </c>
      <c r="X11" s="7" t="s">
        <v>56</v>
      </c>
      <c r="Y11" s="7" t="s">
        <v>56</v>
      </c>
      <c r="Z11" s="7" t="s">
        <v>57</v>
      </c>
      <c r="AA11" s="7" t="s">
        <v>58</v>
      </c>
      <c r="AB11" s="7" t="s">
        <v>36</v>
      </c>
      <c r="AC11" s="7" t="s">
        <v>36</v>
      </c>
      <c r="AD11" s="7" t="s">
        <v>57</v>
      </c>
      <c r="AE11" s="7" t="s">
        <v>36</v>
      </c>
      <c r="AF11" s="7" t="s">
        <v>36</v>
      </c>
      <c r="AG11" s="7" t="s">
        <v>36</v>
      </c>
      <c r="AH11" s="7" t="s">
        <v>58</v>
      </c>
      <c r="AI11" s="7" t="s">
        <v>36</v>
      </c>
      <c r="AJ11" s="7" t="s">
        <v>36</v>
      </c>
      <c r="AK11" s="7" t="s">
        <v>36</v>
      </c>
      <c r="AL11" s="7" t="s">
        <v>36</v>
      </c>
      <c r="AM11" s="7" t="s">
        <v>56</v>
      </c>
      <c r="AN11" s="7" t="s">
        <v>56</v>
      </c>
      <c r="AO11" s="7" t="s">
        <v>58</v>
      </c>
      <c r="AP11" s="5"/>
      <c r="AQ11" s="5"/>
      <c r="AR11" s="7">
        <v>4</v>
      </c>
      <c r="AS11" s="7" t="s">
        <v>59</v>
      </c>
      <c r="AT11" s="7" t="s">
        <v>69</v>
      </c>
      <c r="AU11" s="7">
        <v>1004</v>
      </c>
      <c r="AV11" s="30">
        <f t="shared" si="2"/>
        <v>17</v>
      </c>
      <c r="AW11" s="30">
        <f t="shared" si="7"/>
        <v>7</v>
      </c>
      <c r="AX11" s="30">
        <f t="shared" si="3"/>
        <v>2</v>
      </c>
      <c r="AY11" s="31">
        <f t="shared" si="4"/>
        <v>5</v>
      </c>
      <c r="AZ11" s="31">
        <f t="shared" si="6"/>
        <v>31</v>
      </c>
      <c r="BA11" s="32">
        <f>Table139[[#This Row],[Days]]-Table139[[#This Row],[Absent]]</f>
        <v>24</v>
      </c>
      <c r="BB11" s="33">
        <v>4800</v>
      </c>
      <c r="BC11" s="36">
        <f>Table139[[#This Row],[Salary]]/Table139[[#This Row],[Days]]</f>
        <v>154.83870967741936</v>
      </c>
      <c r="BD11" s="34">
        <f>Table139[[#This Row],[Per Day Salary]]*Table139[[#This Row],[Absent]]</f>
        <v>1083.8709677419356</v>
      </c>
      <c r="BE11" s="33">
        <f>Table139[[#This Row],[Salary]]-Table139[[#This Row],[Deduction ]]</f>
        <v>3716.1290322580644</v>
      </c>
      <c r="BF11" s="5"/>
      <c r="BG11" s="5"/>
      <c r="BH11" s="5"/>
      <c r="BI11" s="5"/>
      <c r="BJ11" s="5"/>
      <c r="BK11" s="5"/>
      <c r="BL11" s="5"/>
    </row>
    <row r="12" spans="6:66" ht="14.5" customHeight="1" x14ac:dyDescent="0.35">
      <c r="G12" s="7">
        <v>5</v>
      </c>
      <c r="H12" s="27" t="s">
        <v>40</v>
      </c>
      <c r="I12" s="7">
        <v>1005</v>
      </c>
      <c r="J12" s="15">
        <f t="shared" si="5"/>
        <v>5</v>
      </c>
      <c r="K12" s="7" t="s">
        <v>36</v>
      </c>
      <c r="L12" s="7" t="s">
        <v>36</v>
      </c>
      <c r="M12" s="7" t="s">
        <v>58</v>
      </c>
      <c r="N12" s="7" t="s">
        <v>36</v>
      </c>
      <c r="O12" s="7" t="s">
        <v>36</v>
      </c>
      <c r="P12" s="20" t="s">
        <v>36</v>
      </c>
      <c r="Q12" s="20" t="s">
        <v>56</v>
      </c>
      <c r="R12" s="20" t="s">
        <v>56</v>
      </c>
      <c r="S12" s="20" t="s">
        <v>56</v>
      </c>
      <c r="T12" s="7" t="s">
        <v>58</v>
      </c>
      <c r="U12" s="7" t="s">
        <v>36</v>
      </c>
      <c r="V12" s="7" t="s">
        <v>36</v>
      </c>
      <c r="W12" s="7" t="s">
        <v>36</v>
      </c>
      <c r="X12" s="7" t="s">
        <v>56</v>
      </c>
      <c r="Y12" s="7" t="s">
        <v>56</v>
      </c>
      <c r="Z12" s="7" t="s">
        <v>57</v>
      </c>
      <c r="AA12" s="7" t="s">
        <v>58</v>
      </c>
      <c r="AB12" s="7" t="s">
        <v>36</v>
      </c>
      <c r="AC12" s="7" t="s">
        <v>36</v>
      </c>
      <c r="AD12" s="7" t="s">
        <v>57</v>
      </c>
      <c r="AE12" s="7" t="s">
        <v>36</v>
      </c>
      <c r="AF12" s="7" t="s">
        <v>36</v>
      </c>
      <c r="AG12" s="7" t="s">
        <v>36</v>
      </c>
      <c r="AH12" s="7" t="s">
        <v>58</v>
      </c>
      <c r="AI12" s="7" t="s">
        <v>36</v>
      </c>
      <c r="AJ12" s="7" t="s">
        <v>36</v>
      </c>
      <c r="AK12" s="7" t="s">
        <v>36</v>
      </c>
      <c r="AL12" s="7" t="s">
        <v>36</v>
      </c>
      <c r="AM12" s="7" t="s">
        <v>56</v>
      </c>
      <c r="AN12" s="7" t="s">
        <v>56</v>
      </c>
      <c r="AO12" s="7" t="s">
        <v>58</v>
      </c>
      <c r="AP12" s="5"/>
      <c r="AQ12" s="5"/>
      <c r="AR12" s="7">
        <v>5</v>
      </c>
      <c r="AS12" s="7" t="s">
        <v>40</v>
      </c>
      <c r="AT12" s="7" t="s">
        <v>69</v>
      </c>
      <c r="AU12" s="7">
        <v>1005</v>
      </c>
      <c r="AV12" s="30">
        <f t="shared" si="2"/>
        <v>17</v>
      </c>
      <c r="AW12" s="30">
        <f t="shared" si="7"/>
        <v>7</v>
      </c>
      <c r="AX12" s="30">
        <f t="shared" si="3"/>
        <v>2</v>
      </c>
      <c r="AY12" s="31">
        <f t="shared" si="4"/>
        <v>5</v>
      </c>
      <c r="AZ12" s="31">
        <f t="shared" si="6"/>
        <v>31</v>
      </c>
      <c r="BA12" s="32">
        <f>Table139[[#This Row],[Days]]-Table139[[#This Row],[Absent]]</f>
        <v>24</v>
      </c>
      <c r="BB12" s="33">
        <v>4900</v>
      </c>
      <c r="BC12" s="36">
        <f>Table139[[#This Row],[Salary]]/Table139[[#This Row],[Days]]</f>
        <v>158.06451612903226</v>
      </c>
      <c r="BD12" s="34">
        <f>Table139[[#This Row],[Per Day Salary]]*Table139[[#This Row],[Absent]]</f>
        <v>1106.4516129032259</v>
      </c>
      <c r="BE12" s="33">
        <f>Table139[[#This Row],[Salary]]-Table139[[#This Row],[Deduction ]]</f>
        <v>3793.5483870967741</v>
      </c>
      <c r="BF12" s="5"/>
      <c r="BG12" s="5"/>
      <c r="BH12" s="5"/>
      <c r="BI12" s="5"/>
      <c r="BJ12" s="5"/>
      <c r="BK12" s="5"/>
      <c r="BL12" s="5"/>
    </row>
    <row r="13" spans="6:66" ht="13.5" customHeight="1" x14ac:dyDescent="0.35">
      <c r="G13" s="7">
        <v>6</v>
      </c>
      <c r="H13" s="27" t="s">
        <v>41</v>
      </c>
      <c r="I13" s="7">
        <v>1006</v>
      </c>
      <c r="J13" s="15">
        <f t="shared" si="5"/>
        <v>5</v>
      </c>
      <c r="K13" s="7" t="s">
        <v>36</v>
      </c>
      <c r="L13" s="7" t="s">
        <v>36</v>
      </c>
      <c r="M13" s="7" t="s">
        <v>58</v>
      </c>
      <c r="N13" s="7" t="s">
        <v>36</v>
      </c>
      <c r="O13" s="7" t="s">
        <v>36</v>
      </c>
      <c r="P13" s="20" t="s">
        <v>36</v>
      </c>
      <c r="Q13" s="20" t="s">
        <v>56</v>
      </c>
      <c r="R13" s="20" t="s">
        <v>56</v>
      </c>
      <c r="S13" s="20" t="s">
        <v>56</v>
      </c>
      <c r="T13" s="7" t="s">
        <v>58</v>
      </c>
      <c r="U13" s="7" t="s">
        <v>36</v>
      </c>
      <c r="V13" s="7" t="s">
        <v>36</v>
      </c>
      <c r="W13" s="7" t="s">
        <v>36</v>
      </c>
      <c r="X13" s="7" t="s">
        <v>56</v>
      </c>
      <c r="Y13" s="7" t="s">
        <v>56</v>
      </c>
      <c r="Z13" s="7" t="s">
        <v>57</v>
      </c>
      <c r="AA13" s="7" t="s">
        <v>58</v>
      </c>
      <c r="AB13" s="7" t="s">
        <v>36</v>
      </c>
      <c r="AC13" s="7" t="s">
        <v>36</v>
      </c>
      <c r="AD13" s="7" t="s">
        <v>57</v>
      </c>
      <c r="AE13" s="7" t="s">
        <v>36</v>
      </c>
      <c r="AF13" s="7" t="s">
        <v>36</v>
      </c>
      <c r="AG13" s="7" t="s">
        <v>36</v>
      </c>
      <c r="AH13" s="7" t="s">
        <v>58</v>
      </c>
      <c r="AI13" s="7" t="s">
        <v>36</v>
      </c>
      <c r="AJ13" s="7" t="s">
        <v>36</v>
      </c>
      <c r="AK13" s="7" t="s">
        <v>36</v>
      </c>
      <c r="AL13" s="7" t="s">
        <v>36</v>
      </c>
      <c r="AM13" s="7" t="s">
        <v>56</v>
      </c>
      <c r="AN13" s="7" t="s">
        <v>56</v>
      </c>
      <c r="AO13" s="7" t="s">
        <v>58</v>
      </c>
      <c r="AP13" s="5"/>
      <c r="AQ13" s="5"/>
      <c r="AR13" s="7">
        <v>6</v>
      </c>
      <c r="AS13" s="7" t="s">
        <v>41</v>
      </c>
      <c r="AT13" s="7" t="s">
        <v>69</v>
      </c>
      <c r="AU13" s="7">
        <v>1006</v>
      </c>
      <c r="AV13" s="30">
        <f t="shared" si="2"/>
        <v>17</v>
      </c>
      <c r="AW13" s="30">
        <f t="shared" si="7"/>
        <v>7</v>
      </c>
      <c r="AX13" s="30">
        <f t="shared" si="3"/>
        <v>2</v>
      </c>
      <c r="AY13" s="31">
        <f t="shared" si="4"/>
        <v>5</v>
      </c>
      <c r="AZ13" s="31">
        <f t="shared" si="6"/>
        <v>31</v>
      </c>
      <c r="BA13" s="32">
        <f>Table139[[#This Row],[Days]]-Table139[[#This Row],[Absent]]</f>
        <v>24</v>
      </c>
      <c r="BB13" s="33">
        <v>5000</v>
      </c>
      <c r="BC13" s="36">
        <f>Table139[[#This Row],[Salary]]/Table139[[#This Row],[Days]]</f>
        <v>161.29032258064515</v>
      </c>
      <c r="BD13" s="34">
        <f>Table139[[#This Row],[Per Day Salary]]*Table139[[#This Row],[Absent]]</f>
        <v>1129.0322580645161</v>
      </c>
      <c r="BE13" s="33">
        <f>Table139[[#This Row],[Salary]]-Table139[[#This Row],[Deduction ]]</f>
        <v>3870.9677419354839</v>
      </c>
      <c r="BF13" s="5"/>
      <c r="BG13" s="5"/>
      <c r="BH13" s="5"/>
      <c r="BI13" s="5"/>
      <c r="BJ13" s="5"/>
      <c r="BK13" s="5"/>
      <c r="BL13" s="5"/>
    </row>
    <row r="14" spans="6:66" ht="13.5" customHeight="1" x14ac:dyDescent="0.35">
      <c r="G14" s="7">
        <v>7</v>
      </c>
      <c r="H14" s="27" t="s">
        <v>42</v>
      </c>
      <c r="I14" s="7">
        <v>1007</v>
      </c>
      <c r="J14" s="15">
        <f t="shared" si="5"/>
        <v>5</v>
      </c>
      <c r="K14" s="7" t="s">
        <v>36</v>
      </c>
      <c r="L14" s="7" t="s">
        <v>36</v>
      </c>
      <c r="M14" s="7" t="s">
        <v>58</v>
      </c>
      <c r="N14" s="7" t="s">
        <v>36</v>
      </c>
      <c r="O14" s="7" t="s">
        <v>36</v>
      </c>
      <c r="P14" s="20" t="s">
        <v>36</v>
      </c>
      <c r="Q14" s="20" t="s">
        <v>56</v>
      </c>
      <c r="R14" s="20" t="s">
        <v>56</v>
      </c>
      <c r="S14" s="20" t="s">
        <v>56</v>
      </c>
      <c r="T14" s="7" t="s">
        <v>58</v>
      </c>
      <c r="U14" s="7" t="s">
        <v>36</v>
      </c>
      <c r="V14" s="7" t="s">
        <v>36</v>
      </c>
      <c r="W14" s="7" t="s">
        <v>36</v>
      </c>
      <c r="X14" s="7" t="s">
        <v>56</v>
      </c>
      <c r="Y14" s="7" t="s">
        <v>56</v>
      </c>
      <c r="Z14" s="7" t="s">
        <v>57</v>
      </c>
      <c r="AA14" s="7" t="s">
        <v>58</v>
      </c>
      <c r="AB14" s="7" t="s">
        <v>36</v>
      </c>
      <c r="AC14" s="7" t="s">
        <v>36</v>
      </c>
      <c r="AD14" s="7" t="s">
        <v>57</v>
      </c>
      <c r="AE14" s="7" t="s">
        <v>36</v>
      </c>
      <c r="AF14" s="7" t="s">
        <v>36</v>
      </c>
      <c r="AG14" s="7" t="s">
        <v>36</v>
      </c>
      <c r="AH14" s="7" t="s">
        <v>58</v>
      </c>
      <c r="AI14" s="7" t="s">
        <v>36</v>
      </c>
      <c r="AJ14" s="7" t="s">
        <v>36</v>
      </c>
      <c r="AK14" s="7" t="s">
        <v>36</v>
      </c>
      <c r="AL14" s="7" t="s">
        <v>36</v>
      </c>
      <c r="AM14" s="7" t="s">
        <v>56</v>
      </c>
      <c r="AN14" s="7" t="s">
        <v>56</v>
      </c>
      <c r="AO14" s="7" t="s">
        <v>58</v>
      </c>
      <c r="AR14" s="7">
        <v>7</v>
      </c>
      <c r="AS14" s="7" t="s">
        <v>42</v>
      </c>
      <c r="AT14" s="7" t="s">
        <v>69</v>
      </c>
      <c r="AU14" s="7">
        <v>1007</v>
      </c>
      <c r="AV14" s="30">
        <f t="shared" si="2"/>
        <v>17</v>
      </c>
      <c r="AW14" s="30">
        <f t="shared" si="7"/>
        <v>7</v>
      </c>
      <c r="AX14" s="30">
        <f t="shared" si="3"/>
        <v>2</v>
      </c>
      <c r="AY14" s="31">
        <f t="shared" si="4"/>
        <v>5</v>
      </c>
      <c r="AZ14" s="31">
        <f t="shared" si="6"/>
        <v>31</v>
      </c>
      <c r="BA14" s="32">
        <f>Table139[[#This Row],[Days]]-Table139[[#This Row],[Absent]]</f>
        <v>24</v>
      </c>
      <c r="BB14" s="33">
        <v>5100</v>
      </c>
      <c r="BC14" s="36">
        <f>Table139[[#This Row],[Salary]]/Table139[[#This Row],[Days]]</f>
        <v>164.51612903225808</v>
      </c>
      <c r="BD14" s="34">
        <f>Table139[[#This Row],[Per Day Salary]]*Table139[[#This Row],[Absent]]</f>
        <v>1151.6129032258066</v>
      </c>
      <c r="BE14" s="33">
        <f>Table139[[#This Row],[Salary]]-Table139[[#This Row],[Deduction ]]</f>
        <v>3948.3870967741932</v>
      </c>
    </row>
    <row r="15" spans="6:66" ht="12.65" customHeight="1" x14ac:dyDescent="0.35">
      <c r="G15" s="7">
        <v>8</v>
      </c>
      <c r="H15" s="27" t="s">
        <v>43</v>
      </c>
      <c r="I15" s="7">
        <v>1008</v>
      </c>
      <c r="J15" s="15">
        <f t="shared" si="5"/>
        <v>5</v>
      </c>
      <c r="K15" s="7" t="s">
        <v>36</v>
      </c>
      <c r="L15" s="7" t="s">
        <v>36</v>
      </c>
      <c r="M15" s="7" t="s">
        <v>58</v>
      </c>
      <c r="N15" s="7" t="s">
        <v>36</v>
      </c>
      <c r="O15" s="7" t="s">
        <v>36</v>
      </c>
      <c r="P15" s="20" t="s">
        <v>36</v>
      </c>
      <c r="Q15" s="20" t="s">
        <v>56</v>
      </c>
      <c r="R15" s="20" t="s">
        <v>56</v>
      </c>
      <c r="S15" s="20" t="s">
        <v>56</v>
      </c>
      <c r="T15" s="7" t="s">
        <v>58</v>
      </c>
      <c r="U15" s="7" t="s">
        <v>36</v>
      </c>
      <c r="V15" s="7" t="s">
        <v>36</v>
      </c>
      <c r="W15" s="7" t="s">
        <v>36</v>
      </c>
      <c r="X15" s="7" t="s">
        <v>56</v>
      </c>
      <c r="Y15" s="7" t="s">
        <v>56</v>
      </c>
      <c r="Z15" s="7" t="s">
        <v>57</v>
      </c>
      <c r="AA15" s="7" t="s">
        <v>58</v>
      </c>
      <c r="AB15" s="7" t="s">
        <v>36</v>
      </c>
      <c r="AC15" s="7" t="s">
        <v>36</v>
      </c>
      <c r="AD15" s="7" t="s">
        <v>57</v>
      </c>
      <c r="AE15" s="7" t="s">
        <v>36</v>
      </c>
      <c r="AF15" s="7" t="s">
        <v>36</v>
      </c>
      <c r="AG15" s="7" t="s">
        <v>36</v>
      </c>
      <c r="AH15" s="7" t="s">
        <v>58</v>
      </c>
      <c r="AI15" s="7" t="s">
        <v>36</v>
      </c>
      <c r="AJ15" s="7" t="s">
        <v>36</v>
      </c>
      <c r="AK15" s="7" t="s">
        <v>36</v>
      </c>
      <c r="AL15" s="7" t="s">
        <v>36</v>
      </c>
      <c r="AM15" s="7" t="s">
        <v>56</v>
      </c>
      <c r="AN15" s="7" t="s">
        <v>56</v>
      </c>
      <c r="AO15" s="7" t="s">
        <v>58</v>
      </c>
      <c r="AR15" s="7">
        <v>8</v>
      </c>
      <c r="AS15" s="7" t="s">
        <v>43</v>
      </c>
      <c r="AT15" s="7" t="s">
        <v>69</v>
      </c>
      <c r="AU15" s="7">
        <v>1008</v>
      </c>
      <c r="AV15" s="30">
        <f t="shared" si="2"/>
        <v>17</v>
      </c>
      <c r="AW15" s="30">
        <f t="shared" si="7"/>
        <v>7</v>
      </c>
      <c r="AX15" s="30">
        <f t="shared" si="3"/>
        <v>2</v>
      </c>
      <c r="AY15" s="31">
        <f t="shared" si="4"/>
        <v>5</v>
      </c>
      <c r="AZ15" s="31">
        <f t="shared" si="6"/>
        <v>31</v>
      </c>
      <c r="BA15" s="32">
        <f>Table139[[#This Row],[Days]]-Table139[[#This Row],[Absent]]</f>
        <v>24</v>
      </c>
      <c r="BB15" s="33">
        <v>5200</v>
      </c>
      <c r="BC15" s="36">
        <f>Table139[[#This Row],[Salary]]/Table139[[#This Row],[Days]]</f>
        <v>167.74193548387098</v>
      </c>
      <c r="BD15" s="34">
        <f>Table139[[#This Row],[Per Day Salary]]*Table139[[#This Row],[Absent]]</f>
        <v>1174.1935483870968</v>
      </c>
      <c r="BE15" s="33">
        <f>Table139[[#This Row],[Salary]]-Table139[[#This Row],[Deduction ]]</f>
        <v>4025.8064516129034</v>
      </c>
    </row>
    <row r="16" spans="6:66" ht="14.15" customHeight="1" x14ac:dyDescent="0.35">
      <c r="G16" s="7">
        <v>9</v>
      </c>
      <c r="H16" s="27" t="s">
        <v>44</v>
      </c>
      <c r="I16" s="7">
        <v>1009</v>
      </c>
      <c r="J16" s="15">
        <f t="shared" si="5"/>
        <v>5</v>
      </c>
      <c r="K16" s="7" t="s">
        <v>36</v>
      </c>
      <c r="L16" s="7" t="s">
        <v>36</v>
      </c>
      <c r="M16" s="7" t="s">
        <v>58</v>
      </c>
      <c r="N16" s="7" t="s">
        <v>36</v>
      </c>
      <c r="O16" s="7" t="s">
        <v>36</v>
      </c>
      <c r="P16" s="20" t="s">
        <v>36</v>
      </c>
      <c r="Q16" s="20" t="s">
        <v>56</v>
      </c>
      <c r="R16" s="20" t="s">
        <v>56</v>
      </c>
      <c r="S16" s="20" t="s">
        <v>56</v>
      </c>
      <c r="T16" s="7" t="s">
        <v>58</v>
      </c>
      <c r="U16" s="7" t="s">
        <v>36</v>
      </c>
      <c r="V16" s="7" t="s">
        <v>36</v>
      </c>
      <c r="W16" s="7" t="s">
        <v>36</v>
      </c>
      <c r="X16" s="7" t="s">
        <v>56</v>
      </c>
      <c r="Y16" s="7" t="s">
        <v>56</v>
      </c>
      <c r="Z16" s="7" t="s">
        <v>57</v>
      </c>
      <c r="AA16" s="7" t="s">
        <v>58</v>
      </c>
      <c r="AB16" s="7" t="s">
        <v>36</v>
      </c>
      <c r="AC16" s="7" t="s">
        <v>36</v>
      </c>
      <c r="AD16" s="7" t="s">
        <v>57</v>
      </c>
      <c r="AE16" s="7" t="s">
        <v>36</v>
      </c>
      <c r="AF16" s="7" t="s">
        <v>36</v>
      </c>
      <c r="AG16" s="7" t="s">
        <v>36</v>
      </c>
      <c r="AH16" s="7" t="s">
        <v>58</v>
      </c>
      <c r="AI16" s="7" t="s">
        <v>36</v>
      </c>
      <c r="AJ16" s="7" t="s">
        <v>36</v>
      </c>
      <c r="AK16" s="7" t="s">
        <v>36</v>
      </c>
      <c r="AL16" s="7" t="s">
        <v>36</v>
      </c>
      <c r="AM16" s="7" t="s">
        <v>56</v>
      </c>
      <c r="AN16" s="7" t="s">
        <v>56</v>
      </c>
      <c r="AO16" s="7" t="s">
        <v>58</v>
      </c>
      <c r="AR16" s="7">
        <v>9</v>
      </c>
      <c r="AS16" s="7" t="s">
        <v>44</v>
      </c>
      <c r="AT16" s="7" t="s">
        <v>69</v>
      </c>
      <c r="AU16" s="7">
        <v>1009</v>
      </c>
      <c r="AV16" s="30">
        <f t="shared" si="2"/>
        <v>17</v>
      </c>
      <c r="AW16" s="30">
        <f t="shared" si="7"/>
        <v>7</v>
      </c>
      <c r="AX16" s="30">
        <f t="shared" si="3"/>
        <v>2</v>
      </c>
      <c r="AY16" s="31">
        <f t="shared" si="4"/>
        <v>5</v>
      </c>
      <c r="AZ16" s="31">
        <f t="shared" si="6"/>
        <v>31</v>
      </c>
      <c r="BA16" s="32">
        <f>Table139[[#This Row],[Days]]-Table139[[#This Row],[Absent]]</f>
        <v>24</v>
      </c>
      <c r="BB16" s="33">
        <v>5300</v>
      </c>
      <c r="BC16" s="36">
        <f>Table139[[#This Row],[Salary]]/Table139[[#This Row],[Days]]</f>
        <v>170.96774193548387</v>
      </c>
      <c r="BD16" s="34">
        <f>Table139[[#This Row],[Per Day Salary]]*Table139[[#This Row],[Absent]]</f>
        <v>1196.7741935483871</v>
      </c>
      <c r="BE16" s="33">
        <f>Table139[[#This Row],[Salary]]-Table139[[#This Row],[Deduction ]]</f>
        <v>4103.2258064516127</v>
      </c>
    </row>
    <row r="17" spans="7:57" ht="14.15" customHeight="1" x14ac:dyDescent="0.35">
      <c r="G17" s="7">
        <v>10</v>
      </c>
      <c r="H17" s="27" t="s">
        <v>45</v>
      </c>
      <c r="I17" s="7">
        <v>1010</v>
      </c>
      <c r="J17" s="15">
        <f t="shared" si="5"/>
        <v>5</v>
      </c>
      <c r="K17" s="7" t="s">
        <v>36</v>
      </c>
      <c r="L17" s="7" t="s">
        <v>36</v>
      </c>
      <c r="M17" s="7" t="s">
        <v>58</v>
      </c>
      <c r="N17" s="7" t="s">
        <v>36</v>
      </c>
      <c r="O17" s="7" t="s">
        <v>36</v>
      </c>
      <c r="P17" s="20" t="s">
        <v>36</v>
      </c>
      <c r="Q17" s="20" t="s">
        <v>56</v>
      </c>
      <c r="R17" s="20" t="s">
        <v>56</v>
      </c>
      <c r="S17" s="20" t="s">
        <v>56</v>
      </c>
      <c r="T17" s="7" t="s">
        <v>58</v>
      </c>
      <c r="U17" s="7" t="s">
        <v>36</v>
      </c>
      <c r="V17" s="7" t="s">
        <v>36</v>
      </c>
      <c r="W17" s="7" t="s">
        <v>36</v>
      </c>
      <c r="X17" s="7" t="s">
        <v>56</v>
      </c>
      <c r="Y17" s="7" t="s">
        <v>56</v>
      </c>
      <c r="Z17" s="7" t="s">
        <v>57</v>
      </c>
      <c r="AA17" s="7" t="s">
        <v>58</v>
      </c>
      <c r="AB17" s="7" t="s">
        <v>36</v>
      </c>
      <c r="AC17" s="7" t="s">
        <v>36</v>
      </c>
      <c r="AD17" s="7" t="s">
        <v>57</v>
      </c>
      <c r="AE17" s="7" t="s">
        <v>36</v>
      </c>
      <c r="AF17" s="7" t="s">
        <v>36</v>
      </c>
      <c r="AG17" s="7" t="s">
        <v>36</v>
      </c>
      <c r="AH17" s="7" t="s">
        <v>58</v>
      </c>
      <c r="AI17" s="7" t="s">
        <v>36</v>
      </c>
      <c r="AJ17" s="7" t="s">
        <v>36</v>
      </c>
      <c r="AK17" s="7" t="s">
        <v>36</v>
      </c>
      <c r="AL17" s="7" t="s">
        <v>36</v>
      </c>
      <c r="AM17" s="7" t="s">
        <v>56</v>
      </c>
      <c r="AN17" s="7" t="s">
        <v>56</v>
      </c>
      <c r="AO17" s="7" t="s">
        <v>58</v>
      </c>
      <c r="AR17" s="7">
        <v>10</v>
      </c>
      <c r="AS17" s="7" t="s">
        <v>45</v>
      </c>
      <c r="AT17" s="7" t="s">
        <v>69</v>
      </c>
      <c r="AU17" s="7">
        <v>1010</v>
      </c>
      <c r="AV17" s="30">
        <f t="shared" si="2"/>
        <v>17</v>
      </c>
      <c r="AW17" s="30">
        <f t="shared" si="7"/>
        <v>7</v>
      </c>
      <c r="AX17" s="30">
        <f t="shared" si="3"/>
        <v>2</v>
      </c>
      <c r="AY17" s="31">
        <f t="shared" si="4"/>
        <v>5</v>
      </c>
      <c r="AZ17" s="31">
        <f t="shared" si="6"/>
        <v>31</v>
      </c>
      <c r="BA17" s="32">
        <f>Table139[[#This Row],[Days]]-Table139[[#This Row],[Absent]]</f>
        <v>24</v>
      </c>
      <c r="BB17" s="33">
        <v>5400</v>
      </c>
      <c r="BC17" s="36">
        <f>Table139[[#This Row],[Salary]]/Table139[[#This Row],[Days]]</f>
        <v>174.19354838709677</v>
      </c>
      <c r="BD17" s="34">
        <f>Table139[[#This Row],[Per Day Salary]]*Table139[[#This Row],[Absent]]</f>
        <v>1219.3548387096773</v>
      </c>
      <c r="BE17" s="33">
        <f>Table139[[#This Row],[Salary]]-Table139[[#This Row],[Deduction ]]</f>
        <v>4180.6451612903229</v>
      </c>
    </row>
    <row r="18" spans="7:57" ht="14.5" customHeight="1" x14ac:dyDescent="0.35">
      <c r="G18" s="7">
        <v>11</v>
      </c>
      <c r="H18" s="27" t="s">
        <v>46</v>
      </c>
      <c r="I18" s="7">
        <v>1011</v>
      </c>
      <c r="J18" s="15">
        <f t="shared" si="5"/>
        <v>5</v>
      </c>
      <c r="K18" s="7" t="s">
        <v>36</v>
      </c>
      <c r="L18" s="7" t="s">
        <v>36</v>
      </c>
      <c r="M18" s="7" t="s">
        <v>58</v>
      </c>
      <c r="N18" s="7" t="s">
        <v>36</v>
      </c>
      <c r="O18" s="7" t="s">
        <v>36</v>
      </c>
      <c r="P18" s="20" t="s">
        <v>36</v>
      </c>
      <c r="Q18" s="20" t="s">
        <v>56</v>
      </c>
      <c r="R18" s="20" t="s">
        <v>56</v>
      </c>
      <c r="S18" s="20" t="s">
        <v>56</v>
      </c>
      <c r="T18" s="7" t="s">
        <v>58</v>
      </c>
      <c r="U18" s="7" t="s">
        <v>36</v>
      </c>
      <c r="V18" s="7" t="s">
        <v>36</v>
      </c>
      <c r="W18" s="7" t="s">
        <v>36</v>
      </c>
      <c r="X18" s="7" t="s">
        <v>56</v>
      </c>
      <c r="Y18" s="7" t="s">
        <v>56</v>
      </c>
      <c r="Z18" s="7" t="s">
        <v>57</v>
      </c>
      <c r="AA18" s="7" t="s">
        <v>58</v>
      </c>
      <c r="AB18" s="7" t="s">
        <v>36</v>
      </c>
      <c r="AC18" s="7" t="s">
        <v>36</v>
      </c>
      <c r="AD18" s="7" t="s">
        <v>57</v>
      </c>
      <c r="AE18" s="7" t="s">
        <v>36</v>
      </c>
      <c r="AF18" s="7" t="s">
        <v>36</v>
      </c>
      <c r="AG18" s="7" t="s">
        <v>36</v>
      </c>
      <c r="AH18" s="7" t="s">
        <v>58</v>
      </c>
      <c r="AI18" s="7" t="s">
        <v>36</v>
      </c>
      <c r="AJ18" s="7" t="s">
        <v>36</v>
      </c>
      <c r="AK18" s="7" t="s">
        <v>36</v>
      </c>
      <c r="AL18" s="7" t="s">
        <v>36</v>
      </c>
      <c r="AM18" s="7" t="s">
        <v>56</v>
      </c>
      <c r="AN18" s="7" t="s">
        <v>56</v>
      </c>
      <c r="AO18" s="7" t="s">
        <v>58</v>
      </c>
      <c r="AR18" s="7">
        <v>11</v>
      </c>
      <c r="AS18" s="7" t="s">
        <v>46</v>
      </c>
      <c r="AT18" s="7" t="s">
        <v>69</v>
      </c>
      <c r="AU18" s="7">
        <v>1011</v>
      </c>
      <c r="AV18" s="30">
        <f t="shared" si="2"/>
        <v>17</v>
      </c>
      <c r="AW18" s="30">
        <f t="shared" si="7"/>
        <v>7</v>
      </c>
      <c r="AX18" s="30">
        <f t="shared" si="3"/>
        <v>2</v>
      </c>
      <c r="AY18" s="31">
        <f t="shared" si="4"/>
        <v>5</v>
      </c>
      <c r="AZ18" s="31">
        <f t="shared" si="6"/>
        <v>31</v>
      </c>
      <c r="BA18" s="32">
        <f>Table139[[#This Row],[Days]]-Table139[[#This Row],[Absent]]</f>
        <v>24</v>
      </c>
      <c r="BB18" s="33">
        <v>5500</v>
      </c>
      <c r="BC18" s="36">
        <f>Table139[[#This Row],[Salary]]/Table139[[#This Row],[Days]]</f>
        <v>177.41935483870967</v>
      </c>
      <c r="BD18" s="34">
        <f>Table139[[#This Row],[Per Day Salary]]*Table139[[#This Row],[Absent]]</f>
        <v>1241.9354838709676</v>
      </c>
      <c r="BE18" s="33">
        <f>Table139[[#This Row],[Salary]]-Table139[[#This Row],[Deduction ]]</f>
        <v>4258.0645161290322</v>
      </c>
    </row>
    <row r="19" spans="7:57" ht="13.5" customHeight="1" x14ac:dyDescent="0.35">
      <c r="G19" s="7">
        <v>12</v>
      </c>
      <c r="H19" s="27" t="s">
        <v>47</v>
      </c>
      <c r="I19" s="7">
        <v>1012</v>
      </c>
      <c r="J19" s="15">
        <f t="shared" si="5"/>
        <v>5</v>
      </c>
      <c r="K19" s="7" t="s">
        <v>36</v>
      </c>
      <c r="L19" s="7" t="s">
        <v>36</v>
      </c>
      <c r="M19" s="7" t="s">
        <v>58</v>
      </c>
      <c r="N19" s="7" t="s">
        <v>36</v>
      </c>
      <c r="O19" s="7" t="s">
        <v>36</v>
      </c>
      <c r="P19" s="20" t="s">
        <v>36</v>
      </c>
      <c r="Q19" s="20" t="s">
        <v>56</v>
      </c>
      <c r="R19" s="20" t="s">
        <v>56</v>
      </c>
      <c r="S19" s="20" t="s">
        <v>56</v>
      </c>
      <c r="T19" s="7" t="s">
        <v>58</v>
      </c>
      <c r="U19" s="7" t="s">
        <v>36</v>
      </c>
      <c r="V19" s="7" t="s">
        <v>36</v>
      </c>
      <c r="W19" s="7" t="s">
        <v>36</v>
      </c>
      <c r="X19" s="7" t="s">
        <v>56</v>
      </c>
      <c r="Y19" s="7" t="s">
        <v>56</v>
      </c>
      <c r="Z19" s="7" t="s">
        <v>57</v>
      </c>
      <c r="AA19" s="7" t="s">
        <v>58</v>
      </c>
      <c r="AB19" s="7" t="s">
        <v>36</v>
      </c>
      <c r="AC19" s="7" t="s">
        <v>36</v>
      </c>
      <c r="AD19" s="7" t="s">
        <v>57</v>
      </c>
      <c r="AE19" s="7" t="s">
        <v>36</v>
      </c>
      <c r="AF19" s="7" t="s">
        <v>36</v>
      </c>
      <c r="AG19" s="7" t="s">
        <v>36</v>
      </c>
      <c r="AH19" s="7" t="s">
        <v>58</v>
      </c>
      <c r="AI19" s="7" t="s">
        <v>36</v>
      </c>
      <c r="AJ19" s="7" t="s">
        <v>36</v>
      </c>
      <c r="AK19" s="7" t="s">
        <v>36</v>
      </c>
      <c r="AL19" s="7" t="s">
        <v>36</v>
      </c>
      <c r="AM19" s="7" t="s">
        <v>56</v>
      </c>
      <c r="AN19" s="7" t="s">
        <v>56</v>
      </c>
      <c r="AO19" s="7" t="s">
        <v>58</v>
      </c>
      <c r="AR19" s="7">
        <v>12</v>
      </c>
      <c r="AS19" s="7" t="s">
        <v>47</v>
      </c>
      <c r="AT19" s="7" t="s">
        <v>69</v>
      </c>
      <c r="AU19" s="7">
        <v>1012</v>
      </c>
      <c r="AV19" s="30">
        <f t="shared" si="2"/>
        <v>17</v>
      </c>
      <c r="AW19" s="30">
        <f t="shared" si="7"/>
        <v>7</v>
      </c>
      <c r="AX19" s="30">
        <f t="shared" si="3"/>
        <v>2</v>
      </c>
      <c r="AY19" s="31">
        <f t="shared" si="4"/>
        <v>5</v>
      </c>
      <c r="AZ19" s="31">
        <f t="shared" si="6"/>
        <v>31</v>
      </c>
      <c r="BA19" s="32">
        <f>Table139[[#This Row],[Days]]-Table139[[#This Row],[Absent]]</f>
        <v>24</v>
      </c>
      <c r="BB19" s="33">
        <v>5600</v>
      </c>
      <c r="BC19" s="36">
        <f>Table139[[#This Row],[Salary]]/Table139[[#This Row],[Days]]</f>
        <v>180.64516129032259</v>
      </c>
      <c r="BD19" s="34">
        <f>Table139[[#This Row],[Per Day Salary]]*Table139[[#This Row],[Absent]]</f>
        <v>1264.516129032258</v>
      </c>
      <c r="BE19" s="33">
        <f>Table139[[#This Row],[Salary]]-Table139[[#This Row],[Deduction ]]</f>
        <v>4335.4838709677424</v>
      </c>
    </row>
    <row r="20" spans="7:57" ht="13.5" customHeight="1" x14ac:dyDescent="0.35">
      <c r="G20" s="7">
        <v>13</v>
      </c>
      <c r="H20" s="27" t="s">
        <v>48</v>
      </c>
      <c r="I20" s="7">
        <v>1013</v>
      </c>
      <c r="J20" s="15">
        <f t="shared" si="5"/>
        <v>5</v>
      </c>
      <c r="K20" s="7" t="s">
        <v>36</v>
      </c>
      <c r="L20" s="7" t="s">
        <v>36</v>
      </c>
      <c r="M20" s="7" t="s">
        <v>58</v>
      </c>
      <c r="N20" s="7" t="s">
        <v>36</v>
      </c>
      <c r="O20" s="7" t="s">
        <v>36</v>
      </c>
      <c r="P20" s="20" t="s">
        <v>36</v>
      </c>
      <c r="Q20" s="20" t="s">
        <v>56</v>
      </c>
      <c r="R20" s="20" t="s">
        <v>56</v>
      </c>
      <c r="S20" s="20" t="s">
        <v>56</v>
      </c>
      <c r="T20" s="7" t="s">
        <v>58</v>
      </c>
      <c r="U20" s="7" t="s">
        <v>36</v>
      </c>
      <c r="V20" s="7" t="s">
        <v>36</v>
      </c>
      <c r="W20" s="7" t="s">
        <v>36</v>
      </c>
      <c r="X20" s="7" t="s">
        <v>56</v>
      </c>
      <c r="Y20" s="7" t="s">
        <v>56</v>
      </c>
      <c r="Z20" s="7" t="s">
        <v>57</v>
      </c>
      <c r="AA20" s="7" t="s">
        <v>58</v>
      </c>
      <c r="AB20" s="7" t="s">
        <v>36</v>
      </c>
      <c r="AC20" s="7" t="s">
        <v>36</v>
      </c>
      <c r="AD20" s="7" t="s">
        <v>57</v>
      </c>
      <c r="AE20" s="7" t="s">
        <v>36</v>
      </c>
      <c r="AF20" s="7" t="s">
        <v>36</v>
      </c>
      <c r="AG20" s="7" t="s">
        <v>36</v>
      </c>
      <c r="AH20" s="7" t="s">
        <v>58</v>
      </c>
      <c r="AI20" s="7" t="s">
        <v>36</v>
      </c>
      <c r="AJ20" s="7" t="s">
        <v>36</v>
      </c>
      <c r="AK20" s="7" t="s">
        <v>36</v>
      </c>
      <c r="AL20" s="7" t="s">
        <v>36</v>
      </c>
      <c r="AM20" s="7" t="s">
        <v>56</v>
      </c>
      <c r="AN20" s="7" t="s">
        <v>56</v>
      </c>
      <c r="AO20" s="7" t="s">
        <v>58</v>
      </c>
      <c r="AR20" s="7">
        <v>13</v>
      </c>
      <c r="AS20" s="7" t="s">
        <v>48</v>
      </c>
      <c r="AT20" s="7" t="s">
        <v>69</v>
      </c>
      <c r="AU20" s="7">
        <v>1013</v>
      </c>
      <c r="AV20" s="30">
        <f t="shared" si="2"/>
        <v>17</v>
      </c>
      <c r="AW20" s="30">
        <f t="shared" si="7"/>
        <v>7</v>
      </c>
      <c r="AX20" s="30">
        <f t="shared" si="3"/>
        <v>2</v>
      </c>
      <c r="AY20" s="31">
        <f t="shared" si="4"/>
        <v>5</v>
      </c>
      <c r="AZ20" s="31">
        <f t="shared" si="6"/>
        <v>31</v>
      </c>
      <c r="BA20" s="32">
        <f>Table139[[#This Row],[Days]]-Table139[[#This Row],[Absent]]</f>
        <v>24</v>
      </c>
      <c r="BB20" s="33">
        <v>5700</v>
      </c>
      <c r="BC20" s="36">
        <f>Table139[[#This Row],[Salary]]/Table139[[#This Row],[Days]]</f>
        <v>183.87096774193549</v>
      </c>
      <c r="BD20" s="34">
        <f>Table139[[#This Row],[Per Day Salary]]*Table139[[#This Row],[Absent]]</f>
        <v>1287.0967741935483</v>
      </c>
      <c r="BE20" s="33">
        <f>Table139[[#This Row],[Salary]]-Table139[[#This Row],[Deduction ]]</f>
        <v>4412.9032258064517</v>
      </c>
    </row>
    <row r="21" spans="7:57" ht="14.5" customHeight="1" x14ac:dyDescent="0.35">
      <c r="G21" s="7">
        <v>14</v>
      </c>
      <c r="H21" s="27" t="s">
        <v>49</v>
      </c>
      <c r="I21" s="7">
        <v>1014</v>
      </c>
      <c r="J21" s="15">
        <f t="shared" si="5"/>
        <v>5</v>
      </c>
      <c r="K21" s="7" t="s">
        <v>36</v>
      </c>
      <c r="L21" s="7" t="s">
        <v>36</v>
      </c>
      <c r="M21" s="7" t="s">
        <v>58</v>
      </c>
      <c r="N21" s="7" t="s">
        <v>36</v>
      </c>
      <c r="O21" s="7" t="s">
        <v>36</v>
      </c>
      <c r="P21" s="20" t="s">
        <v>36</v>
      </c>
      <c r="Q21" s="20" t="s">
        <v>56</v>
      </c>
      <c r="R21" s="20" t="s">
        <v>56</v>
      </c>
      <c r="S21" s="20" t="s">
        <v>56</v>
      </c>
      <c r="T21" s="7" t="s">
        <v>58</v>
      </c>
      <c r="U21" s="7" t="s">
        <v>36</v>
      </c>
      <c r="V21" s="7" t="s">
        <v>36</v>
      </c>
      <c r="W21" s="7" t="s">
        <v>36</v>
      </c>
      <c r="X21" s="7" t="s">
        <v>56</v>
      </c>
      <c r="Y21" s="7" t="s">
        <v>56</v>
      </c>
      <c r="Z21" s="7" t="s">
        <v>57</v>
      </c>
      <c r="AA21" s="7" t="s">
        <v>58</v>
      </c>
      <c r="AB21" s="7" t="s">
        <v>36</v>
      </c>
      <c r="AC21" s="7" t="s">
        <v>36</v>
      </c>
      <c r="AD21" s="7" t="s">
        <v>57</v>
      </c>
      <c r="AE21" s="7" t="s">
        <v>36</v>
      </c>
      <c r="AF21" s="7" t="s">
        <v>36</v>
      </c>
      <c r="AG21" s="7" t="s">
        <v>36</v>
      </c>
      <c r="AH21" s="7" t="s">
        <v>58</v>
      </c>
      <c r="AI21" s="7" t="s">
        <v>36</v>
      </c>
      <c r="AJ21" s="7" t="s">
        <v>36</v>
      </c>
      <c r="AK21" s="7" t="s">
        <v>36</v>
      </c>
      <c r="AL21" s="7" t="s">
        <v>36</v>
      </c>
      <c r="AM21" s="7" t="s">
        <v>56</v>
      </c>
      <c r="AN21" s="7" t="s">
        <v>56</v>
      </c>
      <c r="AO21" s="7" t="s">
        <v>58</v>
      </c>
      <c r="AR21" s="7">
        <v>14</v>
      </c>
      <c r="AS21" s="7" t="s">
        <v>49</v>
      </c>
      <c r="AT21" s="7" t="s">
        <v>69</v>
      </c>
      <c r="AU21" s="7">
        <v>1014</v>
      </c>
      <c r="AV21" s="30">
        <f t="shared" si="2"/>
        <v>17</v>
      </c>
      <c r="AW21" s="30">
        <f t="shared" si="7"/>
        <v>7</v>
      </c>
      <c r="AX21" s="30">
        <f t="shared" si="3"/>
        <v>2</v>
      </c>
      <c r="AY21" s="31">
        <f t="shared" si="4"/>
        <v>5</v>
      </c>
      <c r="AZ21" s="31">
        <f t="shared" si="6"/>
        <v>31</v>
      </c>
      <c r="BA21" s="32">
        <f>Table139[[#This Row],[Days]]-Table139[[#This Row],[Absent]]</f>
        <v>24</v>
      </c>
      <c r="BB21" s="33">
        <v>5800</v>
      </c>
      <c r="BC21" s="36">
        <f>Table139[[#This Row],[Salary]]/Table139[[#This Row],[Days]]</f>
        <v>187.09677419354838</v>
      </c>
      <c r="BD21" s="34">
        <f>Table139[[#This Row],[Per Day Salary]]*Table139[[#This Row],[Absent]]</f>
        <v>1309.6774193548388</v>
      </c>
      <c r="BE21" s="33">
        <f>Table139[[#This Row],[Salary]]-Table139[[#This Row],[Deduction ]]</f>
        <v>4490.322580645161</v>
      </c>
    </row>
    <row r="22" spans="7:57" ht="13.5" customHeight="1" x14ac:dyDescent="0.35">
      <c r="G22" s="7">
        <v>15</v>
      </c>
      <c r="H22" s="27" t="s">
        <v>50</v>
      </c>
      <c r="I22" s="7">
        <v>1015</v>
      </c>
      <c r="J22" s="15">
        <f t="shared" si="5"/>
        <v>5</v>
      </c>
      <c r="K22" s="7" t="s">
        <v>36</v>
      </c>
      <c r="L22" s="7" t="s">
        <v>36</v>
      </c>
      <c r="M22" s="7" t="s">
        <v>58</v>
      </c>
      <c r="N22" s="7" t="s">
        <v>36</v>
      </c>
      <c r="O22" s="7" t="s">
        <v>36</v>
      </c>
      <c r="P22" s="20" t="s">
        <v>36</v>
      </c>
      <c r="Q22" s="20" t="s">
        <v>56</v>
      </c>
      <c r="R22" s="20" t="s">
        <v>56</v>
      </c>
      <c r="S22" s="20" t="s">
        <v>56</v>
      </c>
      <c r="T22" s="7" t="s">
        <v>58</v>
      </c>
      <c r="U22" s="7" t="s">
        <v>36</v>
      </c>
      <c r="V22" s="7" t="s">
        <v>36</v>
      </c>
      <c r="W22" s="7" t="s">
        <v>36</v>
      </c>
      <c r="X22" s="7" t="s">
        <v>56</v>
      </c>
      <c r="Y22" s="7" t="s">
        <v>56</v>
      </c>
      <c r="Z22" s="7" t="s">
        <v>57</v>
      </c>
      <c r="AA22" s="7" t="s">
        <v>58</v>
      </c>
      <c r="AB22" s="7" t="s">
        <v>36</v>
      </c>
      <c r="AC22" s="7" t="s">
        <v>36</v>
      </c>
      <c r="AD22" s="7" t="s">
        <v>57</v>
      </c>
      <c r="AE22" s="7" t="s">
        <v>36</v>
      </c>
      <c r="AF22" s="7" t="s">
        <v>36</v>
      </c>
      <c r="AG22" s="7" t="s">
        <v>36</v>
      </c>
      <c r="AH22" s="7" t="s">
        <v>58</v>
      </c>
      <c r="AI22" s="7" t="s">
        <v>36</v>
      </c>
      <c r="AJ22" s="7" t="s">
        <v>36</v>
      </c>
      <c r="AK22" s="7" t="s">
        <v>36</v>
      </c>
      <c r="AL22" s="7" t="s">
        <v>36</v>
      </c>
      <c r="AM22" s="7" t="s">
        <v>56</v>
      </c>
      <c r="AN22" s="7" t="s">
        <v>56</v>
      </c>
      <c r="AO22" s="7" t="s">
        <v>58</v>
      </c>
      <c r="AR22" s="7">
        <v>15</v>
      </c>
      <c r="AS22" s="7" t="s">
        <v>50</v>
      </c>
      <c r="AT22" s="7" t="s">
        <v>69</v>
      </c>
      <c r="AU22" s="7">
        <v>1015</v>
      </c>
      <c r="AV22" s="30">
        <f t="shared" si="2"/>
        <v>17</v>
      </c>
      <c r="AW22" s="30">
        <f t="shared" si="7"/>
        <v>7</v>
      </c>
      <c r="AX22" s="30">
        <f t="shared" si="3"/>
        <v>2</v>
      </c>
      <c r="AY22" s="31">
        <f t="shared" si="4"/>
        <v>5</v>
      </c>
      <c r="AZ22" s="31">
        <f t="shared" si="6"/>
        <v>31</v>
      </c>
      <c r="BA22" s="32">
        <f>Table139[[#This Row],[Days]]-Table139[[#This Row],[Absent]]</f>
        <v>24</v>
      </c>
      <c r="BB22" s="33">
        <v>5900</v>
      </c>
      <c r="BC22" s="36">
        <f>Table139[[#This Row],[Salary]]/Table139[[#This Row],[Days]]</f>
        <v>190.32258064516128</v>
      </c>
      <c r="BD22" s="34">
        <f>Table139[[#This Row],[Per Day Salary]]*Table139[[#This Row],[Absent]]</f>
        <v>1332.258064516129</v>
      </c>
      <c r="BE22" s="33">
        <f>Table139[[#This Row],[Salary]]-Table139[[#This Row],[Deduction ]]</f>
        <v>4567.7419354838712</v>
      </c>
    </row>
    <row r="23" spans="7:57" ht="13.5" customHeight="1" x14ac:dyDescent="0.35">
      <c r="G23" s="7">
        <v>16</v>
      </c>
      <c r="H23" s="27" t="s">
        <v>51</v>
      </c>
      <c r="I23" s="7">
        <v>1016</v>
      </c>
      <c r="J23" s="15">
        <f t="shared" si="5"/>
        <v>5</v>
      </c>
      <c r="K23" s="7" t="s">
        <v>36</v>
      </c>
      <c r="L23" s="7" t="s">
        <v>36</v>
      </c>
      <c r="M23" s="7" t="s">
        <v>58</v>
      </c>
      <c r="N23" s="7" t="s">
        <v>36</v>
      </c>
      <c r="O23" s="7" t="s">
        <v>36</v>
      </c>
      <c r="P23" s="20" t="s">
        <v>36</v>
      </c>
      <c r="Q23" s="20" t="s">
        <v>56</v>
      </c>
      <c r="R23" s="20" t="s">
        <v>56</v>
      </c>
      <c r="S23" s="20" t="s">
        <v>56</v>
      </c>
      <c r="T23" s="7" t="s">
        <v>58</v>
      </c>
      <c r="U23" s="7" t="s">
        <v>36</v>
      </c>
      <c r="V23" s="7" t="s">
        <v>36</v>
      </c>
      <c r="W23" s="7" t="s">
        <v>36</v>
      </c>
      <c r="X23" s="7" t="s">
        <v>56</v>
      </c>
      <c r="Y23" s="7" t="s">
        <v>56</v>
      </c>
      <c r="Z23" s="7" t="s">
        <v>57</v>
      </c>
      <c r="AA23" s="7" t="s">
        <v>58</v>
      </c>
      <c r="AB23" s="7" t="s">
        <v>36</v>
      </c>
      <c r="AC23" s="7" t="s">
        <v>36</v>
      </c>
      <c r="AD23" s="7" t="s">
        <v>57</v>
      </c>
      <c r="AE23" s="7" t="s">
        <v>36</v>
      </c>
      <c r="AF23" s="7" t="s">
        <v>36</v>
      </c>
      <c r="AG23" s="7" t="s">
        <v>36</v>
      </c>
      <c r="AH23" s="7" t="s">
        <v>58</v>
      </c>
      <c r="AI23" s="7" t="s">
        <v>36</v>
      </c>
      <c r="AJ23" s="7" t="s">
        <v>36</v>
      </c>
      <c r="AK23" s="7" t="s">
        <v>36</v>
      </c>
      <c r="AL23" s="7" t="s">
        <v>36</v>
      </c>
      <c r="AM23" s="7" t="s">
        <v>56</v>
      </c>
      <c r="AN23" s="7" t="s">
        <v>56</v>
      </c>
      <c r="AO23" s="7" t="s">
        <v>58</v>
      </c>
      <c r="AR23" s="7">
        <v>16</v>
      </c>
      <c r="AS23" s="7" t="s">
        <v>51</v>
      </c>
      <c r="AT23" s="7" t="s">
        <v>69</v>
      </c>
      <c r="AU23" s="7">
        <v>1016</v>
      </c>
      <c r="AV23" s="30">
        <f t="shared" si="2"/>
        <v>17</v>
      </c>
      <c r="AW23" s="30">
        <f t="shared" si="7"/>
        <v>7</v>
      </c>
      <c r="AX23" s="30">
        <f t="shared" si="3"/>
        <v>2</v>
      </c>
      <c r="AY23" s="31">
        <f t="shared" si="4"/>
        <v>5</v>
      </c>
      <c r="AZ23" s="31">
        <f t="shared" si="6"/>
        <v>31</v>
      </c>
      <c r="BA23" s="32">
        <f>Table139[[#This Row],[Days]]-Table139[[#This Row],[Absent]]</f>
        <v>24</v>
      </c>
      <c r="BB23" s="33">
        <v>6000</v>
      </c>
      <c r="BC23" s="36">
        <f>Table139[[#This Row],[Salary]]/Table139[[#This Row],[Days]]</f>
        <v>193.54838709677421</v>
      </c>
      <c r="BD23" s="34">
        <f>Table139[[#This Row],[Per Day Salary]]*Table139[[#This Row],[Absent]]</f>
        <v>1354.8387096774195</v>
      </c>
      <c r="BE23" s="33">
        <f>Table139[[#This Row],[Salary]]-Table139[[#This Row],[Deduction ]]</f>
        <v>4645.1612903225805</v>
      </c>
    </row>
    <row r="24" spans="7:57" ht="12.65" customHeight="1" x14ac:dyDescent="0.35">
      <c r="G24" s="7">
        <v>17</v>
      </c>
      <c r="H24" s="27" t="s">
        <v>52</v>
      </c>
      <c r="I24" s="7">
        <v>1017</v>
      </c>
      <c r="J24" s="15">
        <f t="shared" si="5"/>
        <v>5</v>
      </c>
      <c r="K24" s="7" t="s">
        <v>36</v>
      </c>
      <c r="L24" s="7" t="s">
        <v>36</v>
      </c>
      <c r="M24" s="7" t="s">
        <v>58</v>
      </c>
      <c r="N24" s="7" t="s">
        <v>36</v>
      </c>
      <c r="O24" s="7" t="s">
        <v>36</v>
      </c>
      <c r="P24" s="20" t="s">
        <v>36</v>
      </c>
      <c r="Q24" s="20" t="s">
        <v>56</v>
      </c>
      <c r="R24" s="20" t="s">
        <v>56</v>
      </c>
      <c r="S24" s="20" t="s">
        <v>56</v>
      </c>
      <c r="T24" s="7" t="s">
        <v>58</v>
      </c>
      <c r="U24" s="7" t="s">
        <v>36</v>
      </c>
      <c r="V24" s="7" t="s">
        <v>36</v>
      </c>
      <c r="W24" s="7" t="s">
        <v>36</v>
      </c>
      <c r="X24" s="7" t="s">
        <v>56</v>
      </c>
      <c r="Y24" s="7" t="s">
        <v>56</v>
      </c>
      <c r="Z24" s="7" t="s">
        <v>57</v>
      </c>
      <c r="AA24" s="7" t="s">
        <v>58</v>
      </c>
      <c r="AB24" s="7" t="s">
        <v>36</v>
      </c>
      <c r="AC24" s="7" t="s">
        <v>36</v>
      </c>
      <c r="AD24" s="7" t="s">
        <v>57</v>
      </c>
      <c r="AE24" s="7" t="s">
        <v>36</v>
      </c>
      <c r="AF24" s="7" t="s">
        <v>36</v>
      </c>
      <c r="AG24" s="7" t="s">
        <v>36</v>
      </c>
      <c r="AH24" s="7" t="s">
        <v>58</v>
      </c>
      <c r="AI24" s="7" t="s">
        <v>36</v>
      </c>
      <c r="AJ24" s="7" t="s">
        <v>36</v>
      </c>
      <c r="AK24" s="7" t="s">
        <v>36</v>
      </c>
      <c r="AL24" s="7" t="s">
        <v>36</v>
      </c>
      <c r="AM24" s="7" t="s">
        <v>56</v>
      </c>
      <c r="AN24" s="7" t="s">
        <v>56</v>
      </c>
      <c r="AO24" s="7" t="s">
        <v>58</v>
      </c>
      <c r="AR24" s="7">
        <v>17</v>
      </c>
      <c r="AS24" s="7" t="s">
        <v>52</v>
      </c>
      <c r="AT24" s="7" t="s">
        <v>69</v>
      </c>
      <c r="AU24" s="7">
        <v>1017</v>
      </c>
      <c r="AV24" s="30">
        <f t="shared" si="2"/>
        <v>17</v>
      </c>
      <c r="AW24" s="30">
        <f t="shared" si="7"/>
        <v>7</v>
      </c>
      <c r="AX24" s="30">
        <f t="shared" si="3"/>
        <v>2</v>
      </c>
      <c r="AY24" s="31">
        <f t="shared" si="4"/>
        <v>5</v>
      </c>
      <c r="AZ24" s="31">
        <f t="shared" si="6"/>
        <v>31</v>
      </c>
      <c r="BA24" s="1">
        <f>Table139[[#This Row],[Days]]-Table139[[#This Row],[Absent]]</f>
        <v>24</v>
      </c>
      <c r="BB24" s="33">
        <v>6100</v>
      </c>
      <c r="BC24" s="36">
        <f>Table139[[#This Row],[Salary]]/Table139[[#This Row],[Days]]</f>
        <v>196.7741935483871</v>
      </c>
      <c r="BD24" s="34">
        <f>Table139[[#This Row],[Per Day Salary]]*Table139[[#This Row],[Absent]]</f>
        <v>1377.4193548387098</v>
      </c>
      <c r="BE24" s="33">
        <f>Table139[[#This Row],[Salary]]-Table139[[#This Row],[Deduction ]]</f>
        <v>4722.5806451612898</v>
      </c>
    </row>
    <row r="25" spans="7:57" ht="13.5" customHeight="1" x14ac:dyDescent="0.35">
      <c r="G25" s="7">
        <v>18</v>
      </c>
      <c r="H25" s="27" t="s">
        <v>53</v>
      </c>
      <c r="I25" s="7">
        <v>1018</v>
      </c>
      <c r="J25" s="15">
        <f t="shared" si="5"/>
        <v>5</v>
      </c>
      <c r="K25" s="7" t="s">
        <v>36</v>
      </c>
      <c r="L25" s="7" t="s">
        <v>36</v>
      </c>
      <c r="M25" s="7" t="s">
        <v>58</v>
      </c>
      <c r="N25" s="7" t="s">
        <v>36</v>
      </c>
      <c r="O25" s="7" t="s">
        <v>36</v>
      </c>
      <c r="P25" s="20" t="s">
        <v>36</v>
      </c>
      <c r="Q25" s="20" t="s">
        <v>56</v>
      </c>
      <c r="R25" s="20" t="s">
        <v>56</v>
      </c>
      <c r="S25" s="20" t="s">
        <v>56</v>
      </c>
      <c r="T25" s="7" t="s">
        <v>58</v>
      </c>
      <c r="U25" s="7" t="s">
        <v>36</v>
      </c>
      <c r="V25" s="7" t="s">
        <v>36</v>
      </c>
      <c r="W25" s="7" t="s">
        <v>36</v>
      </c>
      <c r="X25" s="7" t="s">
        <v>56</v>
      </c>
      <c r="Y25" s="7" t="s">
        <v>56</v>
      </c>
      <c r="Z25" s="7" t="s">
        <v>57</v>
      </c>
      <c r="AA25" s="7" t="s">
        <v>58</v>
      </c>
      <c r="AB25" s="7" t="s">
        <v>36</v>
      </c>
      <c r="AC25" s="7" t="s">
        <v>36</v>
      </c>
      <c r="AD25" s="7" t="s">
        <v>57</v>
      </c>
      <c r="AE25" s="7" t="s">
        <v>36</v>
      </c>
      <c r="AF25" s="7" t="s">
        <v>36</v>
      </c>
      <c r="AG25" s="7" t="s">
        <v>36</v>
      </c>
      <c r="AH25" s="7" t="s">
        <v>58</v>
      </c>
      <c r="AI25" s="7" t="s">
        <v>36</v>
      </c>
      <c r="AJ25" s="7" t="s">
        <v>36</v>
      </c>
      <c r="AK25" s="7" t="s">
        <v>36</v>
      </c>
      <c r="AL25" s="7" t="s">
        <v>36</v>
      </c>
      <c r="AM25" s="7" t="s">
        <v>56</v>
      </c>
      <c r="AN25" s="7" t="s">
        <v>56</v>
      </c>
      <c r="AO25" s="7" t="s">
        <v>58</v>
      </c>
      <c r="AR25" s="7">
        <v>18</v>
      </c>
      <c r="AS25" s="7" t="s">
        <v>53</v>
      </c>
      <c r="AT25" s="7" t="s">
        <v>69</v>
      </c>
      <c r="AU25" s="7">
        <v>1018</v>
      </c>
      <c r="AV25" s="30">
        <f t="shared" si="2"/>
        <v>17</v>
      </c>
      <c r="AW25" s="30">
        <f t="shared" si="7"/>
        <v>7</v>
      </c>
      <c r="AX25" s="30">
        <f t="shared" si="3"/>
        <v>2</v>
      </c>
      <c r="AY25" s="31">
        <f t="shared" si="4"/>
        <v>5</v>
      </c>
      <c r="AZ25" s="31">
        <f t="shared" si="6"/>
        <v>31</v>
      </c>
      <c r="BA25" s="32">
        <f>Table139[[#This Row],[Days]]-Table139[[#This Row],[Absent]]</f>
        <v>24</v>
      </c>
      <c r="BB25" s="33">
        <v>6200</v>
      </c>
      <c r="BC25" s="36">
        <f>Table139[[#This Row],[Salary]]/Table139[[#This Row],[Days]]</f>
        <v>200</v>
      </c>
      <c r="BD25" s="34">
        <f>Table139[[#This Row],[Per Day Salary]]*Table139[[#This Row],[Absent]]</f>
        <v>1400</v>
      </c>
      <c r="BE25" s="33">
        <f>Table139[[#This Row],[Salary]]-Table139[[#This Row],[Deduction ]]</f>
        <v>4800</v>
      </c>
    </row>
    <row r="26" spans="7:57" ht="13.5" customHeight="1" x14ac:dyDescent="0.35">
      <c r="G26" s="7">
        <v>19</v>
      </c>
      <c r="H26" s="27" t="s">
        <v>54</v>
      </c>
      <c r="I26" s="7">
        <v>1019</v>
      </c>
      <c r="J26" s="15">
        <f t="shared" si="5"/>
        <v>5</v>
      </c>
      <c r="K26" s="7" t="s">
        <v>36</v>
      </c>
      <c r="L26" s="7" t="s">
        <v>36</v>
      </c>
      <c r="M26" s="7" t="s">
        <v>58</v>
      </c>
      <c r="N26" s="7" t="s">
        <v>36</v>
      </c>
      <c r="O26" s="7" t="s">
        <v>36</v>
      </c>
      <c r="P26" s="20" t="s">
        <v>36</v>
      </c>
      <c r="Q26" s="20" t="s">
        <v>56</v>
      </c>
      <c r="R26" s="20" t="s">
        <v>56</v>
      </c>
      <c r="S26" s="20" t="s">
        <v>56</v>
      </c>
      <c r="T26" s="7" t="s">
        <v>58</v>
      </c>
      <c r="U26" s="7" t="s">
        <v>36</v>
      </c>
      <c r="V26" s="7" t="s">
        <v>36</v>
      </c>
      <c r="W26" s="7" t="s">
        <v>36</v>
      </c>
      <c r="X26" s="7" t="s">
        <v>56</v>
      </c>
      <c r="Y26" s="7" t="s">
        <v>56</v>
      </c>
      <c r="Z26" s="7" t="s">
        <v>57</v>
      </c>
      <c r="AA26" s="7" t="s">
        <v>58</v>
      </c>
      <c r="AB26" s="7" t="s">
        <v>36</v>
      </c>
      <c r="AC26" s="7" t="s">
        <v>36</v>
      </c>
      <c r="AD26" s="7" t="s">
        <v>57</v>
      </c>
      <c r="AE26" s="7" t="s">
        <v>36</v>
      </c>
      <c r="AF26" s="7" t="s">
        <v>36</v>
      </c>
      <c r="AG26" s="7" t="s">
        <v>36</v>
      </c>
      <c r="AH26" s="7" t="s">
        <v>58</v>
      </c>
      <c r="AI26" s="7" t="s">
        <v>36</v>
      </c>
      <c r="AJ26" s="7" t="s">
        <v>36</v>
      </c>
      <c r="AK26" s="7" t="s">
        <v>36</v>
      </c>
      <c r="AL26" s="7" t="s">
        <v>36</v>
      </c>
      <c r="AM26" s="7" t="s">
        <v>56</v>
      </c>
      <c r="AN26" s="7" t="s">
        <v>56</v>
      </c>
      <c r="AO26" s="7" t="s">
        <v>58</v>
      </c>
      <c r="AR26" s="7">
        <v>19</v>
      </c>
      <c r="AS26" s="7" t="s">
        <v>54</v>
      </c>
      <c r="AT26" s="7" t="s">
        <v>69</v>
      </c>
      <c r="AU26" s="7">
        <v>1019</v>
      </c>
      <c r="AV26" s="30">
        <f t="shared" si="2"/>
        <v>17</v>
      </c>
      <c r="AW26" s="30">
        <f t="shared" si="7"/>
        <v>7</v>
      </c>
      <c r="AX26" s="30">
        <f t="shared" si="3"/>
        <v>2</v>
      </c>
      <c r="AY26" s="31">
        <f t="shared" si="4"/>
        <v>5</v>
      </c>
      <c r="AZ26" s="31">
        <f t="shared" si="6"/>
        <v>31</v>
      </c>
      <c r="BA26" s="1">
        <f>Table139[[#This Row],[Days]]-Table139[[#This Row],[Absent]]</f>
        <v>24</v>
      </c>
      <c r="BB26" s="33">
        <v>6300</v>
      </c>
      <c r="BC26" s="36">
        <f>Table139[[#This Row],[Salary]]/Table139[[#This Row],[Days]]</f>
        <v>203.2258064516129</v>
      </c>
      <c r="BD26" s="34">
        <f>Table139[[#This Row],[Per Day Salary]]*Table139[[#This Row],[Absent]]</f>
        <v>1422.5806451612902</v>
      </c>
      <c r="BE26" s="33">
        <f>Table139[[#This Row],[Salary]]-Table139[[#This Row],[Deduction ]]</f>
        <v>4877.4193548387102</v>
      </c>
    </row>
    <row r="27" spans="7:57" ht="14.15" customHeight="1" x14ac:dyDescent="0.35">
      <c r="G27" s="7">
        <v>20</v>
      </c>
      <c r="H27" s="27" t="s">
        <v>55</v>
      </c>
      <c r="I27" s="7">
        <v>1020</v>
      </c>
      <c r="J27" s="15">
        <f t="shared" si="5"/>
        <v>5</v>
      </c>
      <c r="K27" s="7" t="s">
        <v>36</v>
      </c>
      <c r="L27" s="7" t="s">
        <v>36</v>
      </c>
      <c r="M27" s="7" t="s">
        <v>58</v>
      </c>
      <c r="N27" s="7" t="s">
        <v>36</v>
      </c>
      <c r="O27" s="7" t="s">
        <v>36</v>
      </c>
      <c r="P27" s="20" t="s">
        <v>36</v>
      </c>
      <c r="Q27" s="20" t="s">
        <v>56</v>
      </c>
      <c r="R27" s="20" t="s">
        <v>56</v>
      </c>
      <c r="S27" s="20" t="s">
        <v>56</v>
      </c>
      <c r="T27" s="7" t="s">
        <v>58</v>
      </c>
      <c r="U27" s="7" t="s">
        <v>36</v>
      </c>
      <c r="V27" s="7" t="s">
        <v>36</v>
      </c>
      <c r="W27" s="7" t="s">
        <v>36</v>
      </c>
      <c r="X27" s="7" t="s">
        <v>56</v>
      </c>
      <c r="Y27" s="7" t="s">
        <v>56</v>
      </c>
      <c r="Z27" s="7" t="s">
        <v>57</v>
      </c>
      <c r="AA27" s="7" t="s">
        <v>58</v>
      </c>
      <c r="AB27" s="7" t="s">
        <v>36</v>
      </c>
      <c r="AC27" s="7" t="s">
        <v>36</v>
      </c>
      <c r="AD27" s="7" t="s">
        <v>57</v>
      </c>
      <c r="AE27" s="7" t="s">
        <v>36</v>
      </c>
      <c r="AF27" s="7" t="s">
        <v>36</v>
      </c>
      <c r="AG27" s="7" t="s">
        <v>36</v>
      </c>
      <c r="AH27" s="7" t="s">
        <v>58</v>
      </c>
      <c r="AI27" s="7" t="s">
        <v>36</v>
      </c>
      <c r="AJ27" s="7" t="s">
        <v>36</v>
      </c>
      <c r="AK27" s="7" t="s">
        <v>36</v>
      </c>
      <c r="AL27" s="7" t="s">
        <v>36</v>
      </c>
      <c r="AM27" s="7" t="s">
        <v>56</v>
      </c>
      <c r="AN27" s="7" t="s">
        <v>56</v>
      </c>
      <c r="AO27" s="7" t="s">
        <v>58</v>
      </c>
      <c r="AR27" s="7">
        <v>20</v>
      </c>
      <c r="AS27" s="7" t="s">
        <v>55</v>
      </c>
      <c r="AT27" s="42" t="s">
        <v>69</v>
      </c>
      <c r="AU27" s="7">
        <v>1020</v>
      </c>
      <c r="AV27" s="46">
        <f t="shared" si="2"/>
        <v>17</v>
      </c>
      <c r="AW27" s="30">
        <f t="shared" si="7"/>
        <v>7</v>
      </c>
      <c r="AX27" s="30">
        <f t="shared" si="3"/>
        <v>2</v>
      </c>
      <c r="AY27" s="31">
        <f t="shared" si="4"/>
        <v>5</v>
      </c>
      <c r="AZ27" s="31">
        <f t="shared" si="6"/>
        <v>31</v>
      </c>
      <c r="BA27" s="32">
        <f>Table139[[#This Row],[Days]]-Table139[[#This Row],[Absent]]</f>
        <v>24</v>
      </c>
      <c r="BB27" s="33">
        <v>6400</v>
      </c>
      <c r="BC27" s="36">
        <f>Table139[[#This Row],[Salary]]/Table139[[#This Row],[Days]]</f>
        <v>206.45161290322579</v>
      </c>
      <c r="BD27" s="34">
        <f>Table139[[#This Row],[Per Day Salary]]*Table139[[#This Row],[Absent]]</f>
        <v>1445.1612903225805</v>
      </c>
      <c r="BE27" s="33">
        <f>Table139[[#This Row],[Salary]]-Table139[[#This Row],[Deduction ]]</f>
        <v>4954.8387096774195</v>
      </c>
    </row>
    <row r="28" spans="7:57" x14ac:dyDescent="0.35">
      <c r="L28" s="6"/>
      <c r="S28" s="6"/>
      <c r="AR28" s="6"/>
      <c r="AS28" s="6"/>
      <c r="AT28" s="6"/>
      <c r="AU28" s="6"/>
      <c r="AV28" s="44"/>
      <c r="AW28" s="37"/>
      <c r="AX28" s="37"/>
      <c r="AY28" s="5"/>
      <c r="AZ28" s="5"/>
      <c r="BA28" s="41"/>
      <c r="BC28" s="5"/>
      <c r="BD28" s="5"/>
      <c r="BE28" s="41"/>
    </row>
    <row r="29" spans="7:57" x14ac:dyDescent="0.35">
      <c r="AR29" s="6"/>
      <c r="AS29" s="6"/>
      <c r="AT29" s="6"/>
      <c r="AU29" s="6"/>
      <c r="AV29" s="37"/>
      <c r="AW29" s="37"/>
      <c r="AX29" s="37"/>
      <c r="AY29" s="5"/>
      <c r="AZ29" s="5"/>
      <c r="BA29" s="41"/>
      <c r="BC29" s="5"/>
      <c r="BD29" s="5"/>
      <c r="BE29" s="41"/>
    </row>
    <row r="30" spans="7:57" x14ac:dyDescent="0.35">
      <c r="AR30" s="6"/>
      <c r="AS30" s="6"/>
      <c r="AT30" s="6"/>
      <c r="AU30" s="6"/>
      <c r="AV30" s="37"/>
      <c r="AW30" s="37"/>
      <c r="AX30" s="37"/>
      <c r="AY30" s="5"/>
      <c r="AZ30" s="5"/>
      <c r="BA30" s="41"/>
      <c r="BC30" s="5"/>
      <c r="BD30" s="5"/>
      <c r="BE30" s="41"/>
    </row>
    <row r="31" spans="7:57" x14ac:dyDescent="0.35">
      <c r="AR31" s="6"/>
      <c r="AS31" s="6"/>
      <c r="AT31" s="6"/>
      <c r="AU31" s="6"/>
      <c r="AV31" s="37"/>
      <c r="AW31" s="37"/>
      <c r="AX31" s="37"/>
      <c r="AY31" s="5"/>
      <c r="AZ31" s="5"/>
      <c r="BA31" s="41"/>
      <c r="BC31" s="5"/>
      <c r="BD31" s="5"/>
      <c r="BE31" s="41"/>
    </row>
    <row r="32" spans="7:57" x14ac:dyDescent="0.35">
      <c r="AR32" s="6"/>
      <c r="AS32" s="6"/>
      <c r="AT32" s="6"/>
      <c r="AU32" s="6"/>
      <c r="AV32" s="37"/>
      <c r="AW32" s="37"/>
      <c r="AX32" s="37"/>
      <c r="AY32" s="5"/>
      <c r="AZ32" s="5"/>
      <c r="BA32" s="41"/>
      <c r="BC32" s="5"/>
      <c r="BD32" s="5"/>
      <c r="BE32" s="41"/>
    </row>
    <row r="33" spans="44:57" x14ac:dyDescent="0.35">
      <c r="AR33" s="6"/>
      <c r="AS33" s="6"/>
      <c r="AT33" s="6"/>
      <c r="AU33" s="6"/>
      <c r="AV33" s="37"/>
      <c r="AW33" s="37"/>
      <c r="AX33" s="37"/>
      <c r="AY33" s="5"/>
      <c r="AZ33" s="5"/>
      <c r="BA33" s="41"/>
      <c r="BC33" s="5"/>
      <c r="BD33" s="5"/>
      <c r="BE33" s="41"/>
    </row>
    <row r="34" spans="44:57" x14ac:dyDescent="0.35">
      <c r="AU34" s="45"/>
      <c r="AV34" s="45"/>
    </row>
  </sheetData>
  <mergeCells count="1">
    <mergeCell ref="G6:I6"/>
  </mergeCells>
  <phoneticPr fontId="2" type="noConversion"/>
  <conditionalFormatting sqref="F5">
    <cfRule type="containsText" dxfId="24" priority="4" operator="containsText" text="P">
      <formula>NOT(ISERROR(SEARCH("P",F5)))</formula>
    </cfRule>
  </conditionalFormatting>
  <conditionalFormatting sqref="K8:AO27">
    <cfRule type="containsText" dxfId="23" priority="1" operator="containsText" text="L">
      <formula>NOT(ISERROR(SEARCH("L",K8)))</formula>
    </cfRule>
    <cfRule type="containsText" dxfId="22" priority="2" operator="containsText" text="A">
      <formula>NOT(ISERROR(SEARCH("A",K8)))</formula>
    </cfRule>
    <cfRule type="containsText" dxfId="21" priority="3" operator="containsText" text="P">
      <formula>NOT(ISERROR(SEARCH("P",K8)))</formula>
    </cfRule>
    <cfRule type="containsText" dxfId="20" priority="5" operator="containsText" text="WO">
      <formula>NOT(ISERROR(SEARCH("WO",K8)))</formula>
    </cfRule>
  </conditionalFormatting>
  <dataValidations count="2">
    <dataValidation type="list" allowBlank="1" showInputMessage="1" showErrorMessage="1" sqref="K8:L27 N8:S27 AD8:AG27 AI8:AN27 U8:Z27" xr:uid="{3DB61240-7823-4B95-B0C7-A3524891AA0D}">
      <formula1>"A,L,P"</formula1>
    </dataValidation>
    <dataValidation type="list" allowBlank="1" showInputMessage="1" showErrorMessage="1" sqref="M8:M27 T8:T27 AA8:AA27 AH8:AH27 AO8:AO27" xr:uid="{CC6EF7AC-F572-4133-9E86-EBCDDB0E4CA2}">
      <formula1>"A,L,P,WO"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F163EB0-4436-4A8F-9252-509C57F2BD03}">
          <x14:formula1>
            <xm:f>Sheet1!$J$2:$J$13</xm:f>
          </x14:formula1>
          <xm:sqref>G5</xm:sqref>
        </x14:dataValidation>
        <x14:dataValidation type="list" allowBlank="1" showInputMessage="1" showErrorMessage="1" xr:uid="{88D9EE24-F2D0-4D31-A1C6-2A682DEFECD5}">
          <x14:formula1>
            <xm:f>Sheet1!$E$2:$E$13</xm:f>
          </x14:formula1>
          <xm:sqref>I5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D24A9-3AC6-4351-9739-8C5A7DD6626A}">
  <sheetPr codeName="Sheet10"/>
  <dimension ref="F4:BN28"/>
  <sheetViews>
    <sheetView showGridLines="0" zoomScale="60" zoomScaleNormal="60" workbookViewId="0">
      <selection activeCell="H13" sqref="H13"/>
    </sheetView>
  </sheetViews>
  <sheetFormatPr defaultRowHeight="14.5" x14ac:dyDescent="0.35"/>
  <cols>
    <col min="7" max="7" width="12.54296875" bestFit="1" customWidth="1"/>
    <col min="8" max="8" width="11.7265625" bestFit="1" customWidth="1"/>
    <col min="9" max="9" width="12.26953125" customWidth="1"/>
    <col min="10" max="10" width="8.453125" bestFit="1" customWidth="1"/>
    <col min="11" max="11" width="3.453125" bestFit="1" customWidth="1"/>
    <col min="12" max="12" width="3.7265625" bestFit="1" customWidth="1"/>
    <col min="13" max="13" width="5.54296875" customWidth="1"/>
    <col min="14" max="14" width="3.7265625" bestFit="1" customWidth="1"/>
    <col min="15" max="15" width="4.453125" bestFit="1" customWidth="1"/>
    <col min="16" max="16" width="3.7265625" bestFit="1" customWidth="1"/>
    <col min="17" max="17" width="2.81640625" bestFit="1" customWidth="1"/>
    <col min="18" max="18" width="3.453125" bestFit="1" customWidth="1"/>
    <col min="19" max="19" width="3.7265625" bestFit="1" customWidth="1"/>
    <col min="20" max="20" width="4.453125" bestFit="1" customWidth="1"/>
    <col min="21" max="21" width="3.7265625" bestFit="1" customWidth="1"/>
    <col min="22" max="22" width="4.453125" bestFit="1" customWidth="1"/>
    <col min="23" max="23" width="3.7265625" bestFit="1" customWidth="1"/>
    <col min="24" max="24" width="2.81640625" bestFit="1" customWidth="1"/>
    <col min="25" max="25" width="3.453125" bestFit="1" customWidth="1"/>
    <col min="26" max="26" width="3.7265625" bestFit="1" customWidth="1"/>
    <col min="27" max="27" width="4.453125" bestFit="1" customWidth="1"/>
    <col min="28" max="28" width="3.7265625" bestFit="1" customWidth="1"/>
    <col min="29" max="29" width="4.453125" bestFit="1" customWidth="1"/>
    <col min="30" max="30" width="3.7265625" bestFit="1" customWidth="1"/>
    <col min="31" max="31" width="2.81640625" bestFit="1" customWidth="1"/>
    <col min="32" max="32" width="3.453125" bestFit="1" customWidth="1"/>
    <col min="33" max="33" width="3.7265625" bestFit="1" customWidth="1"/>
    <col min="34" max="34" width="4.453125" bestFit="1" customWidth="1"/>
    <col min="35" max="35" width="3.7265625" bestFit="1" customWidth="1"/>
    <col min="36" max="36" width="4.453125" bestFit="1" customWidth="1"/>
    <col min="37" max="37" width="3.7265625" bestFit="1" customWidth="1"/>
    <col min="38" max="38" width="2.81640625" bestFit="1" customWidth="1"/>
    <col min="39" max="39" width="3.453125" bestFit="1" customWidth="1"/>
    <col min="40" max="40" width="4.1796875" bestFit="1" customWidth="1"/>
    <col min="41" max="41" width="5.08984375" customWidth="1"/>
    <col min="45" max="46" width="10.453125" customWidth="1"/>
    <col min="47" max="47" width="12.81640625" customWidth="1"/>
    <col min="48" max="48" width="9.453125" customWidth="1"/>
    <col min="49" max="49" width="8.90625" customWidth="1"/>
    <col min="51" max="51" width="10.453125" customWidth="1"/>
    <col min="53" max="53" width="10.7265625" customWidth="1"/>
    <col min="54" max="54" width="10.7265625" bestFit="1" customWidth="1"/>
    <col min="55" max="55" width="14.36328125" customWidth="1"/>
    <col min="56" max="56" width="12" customWidth="1"/>
    <col min="57" max="57" width="12.54296875" customWidth="1"/>
  </cols>
  <sheetData>
    <row r="4" spans="6:66" x14ac:dyDescent="0.35">
      <c r="F4" s="21"/>
      <c r="G4" s="21"/>
      <c r="H4" s="21"/>
      <c r="I4" s="22">
        <f>G5</f>
        <v>45931</v>
      </c>
      <c r="J4" s="21"/>
      <c r="K4" s="21"/>
      <c r="L4" s="21"/>
    </row>
    <row r="5" spans="6:66" ht="15" thickBot="1" x14ac:dyDescent="0.4">
      <c r="F5" s="21" t="s">
        <v>23</v>
      </c>
      <c r="G5" s="26">
        <v>45931</v>
      </c>
      <c r="H5" s="24">
        <f>G5</f>
        <v>45931</v>
      </c>
      <c r="I5" s="24"/>
      <c r="J5" s="21"/>
      <c r="K5" s="21"/>
      <c r="L5" s="21" t="s">
        <v>25</v>
      </c>
      <c r="M5" s="23">
        <f>EOMONTH(G5,0)</f>
        <v>45961</v>
      </c>
      <c r="O5" s="3"/>
    </row>
    <row r="6" spans="6:66" ht="16.5" thickBot="1" x14ac:dyDescent="0.45">
      <c r="G6" s="50" t="s">
        <v>27</v>
      </c>
      <c r="H6" s="51"/>
      <c r="I6" s="52"/>
      <c r="J6" s="11" t="s">
        <v>26</v>
      </c>
      <c r="K6" s="12" t="str">
        <f>TEXT(K7,"ddd")</f>
        <v>Wed</v>
      </c>
      <c r="L6" s="12" t="str">
        <f t="shared" ref="L6:AN6" si="0">TEXT(L7,"ddd")</f>
        <v>Thu</v>
      </c>
      <c r="M6" s="12" t="str">
        <f t="shared" si="0"/>
        <v>Fri</v>
      </c>
      <c r="N6" s="12" t="str">
        <f t="shared" si="0"/>
        <v>Sat</v>
      </c>
      <c r="O6" s="12" t="str">
        <f t="shared" si="0"/>
        <v>Sun</v>
      </c>
      <c r="P6" s="12" t="str">
        <f t="shared" si="0"/>
        <v>Mon</v>
      </c>
      <c r="Q6" s="12" t="str">
        <f t="shared" si="0"/>
        <v>Tue</v>
      </c>
      <c r="R6" s="12" t="str">
        <f t="shared" si="0"/>
        <v>Wed</v>
      </c>
      <c r="S6" s="12" t="str">
        <f t="shared" si="0"/>
        <v>Thu</v>
      </c>
      <c r="T6" s="12" t="str">
        <f t="shared" si="0"/>
        <v>Fri</v>
      </c>
      <c r="U6" s="12" t="str">
        <f t="shared" si="0"/>
        <v>Sat</v>
      </c>
      <c r="V6" s="12" t="str">
        <f t="shared" si="0"/>
        <v>Sun</v>
      </c>
      <c r="W6" s="12" t="str">
        <f t="shared" si="0"/>
        <v>Mon</v>
      </c>
      <c r="X6" s="12" t="str">
        <f t="shared" si="0"/>
        <v>Tue</v>
      </c>
      <c r="Y6" s="12" t="str">
        <f t="shared" si="0"/>
        <v>Wed</v>
      </c>
      <c r="Z6" s="12" t="str">
        <f t="shared" si="0"/>
        <v>Thu</v>
      </c>
      <c r="AA6" s="12" t="str">
        <f t="shared" si="0"/>
        <v>Fri</v>
      </c>
      <c r="AB6" s="12" t="str">
        <f t="shared" si="0"/>
        <v>Sat</v>
      </c>
      <c r="AC6" s="12" t="str">
        <f t="shared" si="0"/>
        <v>Sun</v>
      </c>
      <c r="AD6" s="12" t="str">
        <f t="shared" si="0"/>
        <v>Mon</v>
      </c>
      <c r="AE6" s="12" t="str">
        <f t="shared" si="0"/>
        <v>Tue</v>
      </c>
      <c r="AF6" s="12" t="str">
        <f t="shared" si="0"/>
        <v>Wed</v>
      </c>
      <c r="AG6" s="12" t="str">
        <f t="shared" si="0"/>
        <v>Thu</v>
      </c>
      <c r="AH6" s="12" t="str">
        <f t="shared" si="0"/>
        <v>Fri</v>
      </c>
      <c r="AI6" s="12" t="str">
        <f t="shared" si="0"/>
        <v>Sat</v>
      </c>
      <c r="AJ6" s="12" t="str">
        <f t="shared" si="0"/>
        <v>Sun</v>
      </c>
      <c r="AK6" s="12" t="str">
        <f t="shared" si="0"/>
        <v>Mon</v>
      </c>
      <c r="AL6" s="12" t="str">
        <f t="shared" si="0"/>
        <v>Tue</v>
      </c>
      <c r="AM6" s="13" t="str">
        <f t="shared" si="0"/>
        <v>Wed</v>
      </c>
      <c r="AN6" s="13" t="str">
        <f t="shared" si="0"/>
        <v>Thu</v>
      </c>
      <c r="AO6" s="14" t="str">
        <f>TEXT(AO7,"ddd")</f>
        <v>Fri</v>
      </c>
    </row>
    <row r="7" spans="6:66" ht="14.25" customHeight="1" x14ac:dyDescent="0.35">
      <c r="G7" s="25" t="s">
        <v>0</v>
      </c>
      <c r="H7" s="25" t="s">
        <v>1</v>
      </c>
      <c r="I7" s="25" t="s">
        <v>2</v>
      </c>
      <c r="J7" s="8" t="s">
        <v>24</v>
      </c>
      <c r="K7" s="9">
        <f>G5</f>
        <v>45931</v>
      </c>
      <c r="L7" s="9">
        <f>IF(K7&lt;$M$5,1+K7,"")</f>
        <v>45932</v>
      </c>
      <c r="M7" s="9">
        <f t="shared" ref="M7:AL7" si="1">IF(L7&lt;$M$5,1+L7,"")</f>
        <v>45933</v>
      </c>
      <c r="N7" s="9">
        <f t="shared" si="1"/>
        <v>45934</v>
      </c>
      <c r="O7" s="9">
        <f t="shared" si="1"/>
        <v>45935</v>
      </c>
      <c r="P7" s="9">
        <f t="shared" si="1"/>
        <v>45936</v>
      </c>
      <c r="Q7" s="9">
        <f t="shared" si="1"/>
        <v>45937</v>
      </c>
      <c r="R7" s="9">
        <f t="shared" si="1"/>
        <v>45938</v>
      </c>
      <c r="S7" s="9">
        <f t="shared" si="1"/>
        <v>45939</v>
      </c>
      <c r="T7" s="9">
        <f t="shared" si="1"/>
        <v>45940</v>
      </c>
      <c r="U7" s="9">
        <f t="shared" si="1"/>
        <v>45941</v>
      </c>
      <c r="V7" s="9">
        <f t="shared" si="1"/>
        <v>45942</v>
      </c>
      <c r="W7" s="9">
        <f t="shared" si="1"/>
        <v>45943</v>
      </c>
      <c r="X7" s="9">
        <f t="shared" si="1"/>
        <v>45944</v>
      </c>
      <c r="Y7" s="9">
        <f t="shared" si="1"/>
        <v>45945</v>
      </c>
      <c r="Z7" s="9">
        <f t="shared" si="1"/>
        <v>45946</v>
      </c>
      <c r="AA7" s="9">
        <f>IF(Z7&lt;$M$5,1+Z7,"")</f>
        <v>45947</v>
      </c>
      <c r="AB7" s="9">
        <f t="shared" si="1"/>
        <v>45948</v>
      </c>
      <c r="AC7" s="9">
        <f t="shared" si="1"/>
        <v>45949</v>
      </c>
      <c r="AD7" s="9">
        <f t="shared" si="1"/>
        <v>45950</v>
      </c>
      <c r="AE7" s="9">
        <f t="shared" si="1"/>
        <v>45951</v>
      </c>
      <c r="AF7" s="9">
        <f t="shared" si="1"/>
        <v>45952</v>
      </c>
      <c r="AG7" s="9">
        <f t="shared" si="1"/>
        <v>45953</v>
      </c>
      <c r="AH7" s="9">
        <f t="shared" si="1"/>
        <v>45954</v>
      </c>
      <c r="AI7" s="9">
        <f t="shared" si="1"/>
        <v>45955</v>
      </c>
      <c r="AJ7" s="9">
        <f t="shared" si="1"/>
        <v>45956</v>
      </c>
      <c r="AK7" s="9">
        <f t="shared" si="1"/>
        <v>45957</v>
      </c>
      <c r="AL7" s="9">
        <f t="shared" si="1"/>
        <v>45958</v>
      </c>
      <c r="AM7" s="9">
        <f>IF(AL7&lt;$M$5,1+AL7,"")</f>
        <v>45959</v>
      </c>
      <c r="AN7" s="9">
        <f>IF(AM7&lt;$M$5,1+AM7,"")</f>
        <v>45960</v>
      </c>
      <c r="AO7" s="10">
        <f>IF(AN7&lt;$M$5,1+AN7,"")</f>
        <v>45961</v>
      </c>
      <c r="AP7" s="5"/>
      <c r="AQ7" s="5"/>
      <c r="AR7" s="18" t="s">
        <v>0</v>
      </c>
      <c r="AS7" s="18" t="s">
        <v>1</v>
      </c>
      <c r="AT7" s="18" t="s">
        <v>72</v>
      </c>
      <c r="AU7" s="18" t="s">
        <v>2</v>
      </c>
      <c r="AV7" s="17" t="s">
        <v>28</v>
      </c>
      <c r="AW7" s="17" t="s">
        <v>29</v>
      </c>
      <c r="AX7" s="17" t="s">
        <v>30</v>
      </c>
      <c r="AY7" s="17" t="s">
        <v>24</v>
      </c>
      <c r="AZ7" s="17" t="s">
        <v>26</v>
      </c>
      <c r="BA7" s="17" t="s">
        <v>31</v>
      </c>
      <c r="BB7" s="17" t="s">
        <v>32</v>
      </c>
      <c r="BC7" s="17" t="s">
        <v>33</v>
      </c>
      <c r="BD7" s="17" t="s">
        <v>34</v>
      </c>
      <c r="BE7" s="17" t="s">
        <v>35</v>
      </c>
      <c r="BF7" s="16"/>
      <c r="BG7" s="5"/>
      <c r="BH7" s="5"/>
      <c r="BI7" s="5"/>
      <c r="BJ7" s="5"/>
      <c r="BK7" s="5"/>
      <c r="BL7" s="5"/>
      <c r="BM7" s="5"/>
      <c r="BN7" s="5"/>
    </row>
    <row r="8" spans="6:66" ht="14.25" customHeight="1" x14ac:dyDescent="0.35">
      <c r="G8" s="7">
        <v>1</v>
      </c>
      <c r="H8" s="27" t="s">
        <v>37</v>
      </c>
      <c r="I8" s="7">
        <v>1001</v>
      </c>
      <c r="J8" s="15">
        <f>COUNTIF(K$6:AO$6,"Sun")</f>
        <v>4</v>
      </c>
      <c r="K8" s="7" t="s">
        <v>36</v>
      </c>
      <c r="L8" s="7" t="s">
        <v>36</v>
      </c>
      <c r="M8" s="7" t="s">
        <v>36</v>
      </c>
      <c r="N8" s="7" t="s">
        <v>36</v>
      </c>
      <c r="O8" s="7" t="s">
        <v>58</v>
      </c>
      <c r="P8" s="7" t="s">
        <v>36</v>
      </c>
      <c r="Q8" s="7" t="s">
        <v>56</v>
      </c>
      <c r="R8" s="7" t="s">
        <v>56</v>
      </c>
      <c r="S8" s="7" t="s">
        <v>56</v>
      </c>
      <c r="T8" s="7" t="s">
        <v>57</v>
      </c>
      <c r="U8" s="7" t="s">
        <v>36</v>
      </c>
      <c r="V8" s="7" t="s">
        <v>58</v>
      </c>
      <c r="W8" s="7" t="s">
        <v>36</v>
      </c>
      <c r="X8" s="7" t="s">
        <v>56</v>
      </c>
      <c r="Y8" s="7" t="s">
        <v>56</v>
      </c>
      <c r="Z8" s="7" t="s">
        <v>57</v>
      </c>
      <c r="AA8" s="7" t="s">
        <v>36</v>
      </c>
      <c r="AB8" s="7" t="s">
        <v>36</v>
      </c>
      <c r="AC8" s="7" t="s">
        <v>58</v>
      </c>
      <c r="AD8" s="7" t="s">
        <v>36</v>
      </c>
      <c r="AE8" s="7" t="s">
        <v>36</v>
      </c>
      <c r="AF8" s="7" t="s">
        <v>36</v>
      </c>
      <c r="AG8" s="7" t="s">
        <v>36</v>
      </c>
      <c r="AH8" s="7" t="s">
        <v>36</v>
      </c>
      <c r="AI8" s="7" t="s">
        <v>36</v>
      </c>
      <c r="AJ8" s="7" t="s">
        <v>58</v>
      </c>
      <c r="AK8" s="7" t="s">
        <v>36</v>
      </c>
      <c r="AL8" s="7" t="s">
        <v>36</v>
      </c>
      <c r="AM8" s="7" t="s">
        <v>56</v>
      </c>
      <c r="AN8" s="7" t="s">
        <v>56</v>
      </c>
      <c r="AO8" s="7" t="s">
        <v>57</v>
      </c>
      <c r="AP8" s="5"/>
      <c r="AQ8" s="5"/>
      <c r="AR8" s="7">
        <v>1</v>
      </c>
      <c r="AS8" s="43" t="s">
        <v>37</v>
      </c>
      <c r="AT8" s="20" t="s">
        <v>71</v>
      </c>
      <c r="AU8" s="7">
        <v>1001</v>
      </c>
      <c r="AV8" s="30">
        <f t="shared" ref="AV8:AV27" si="2">COUNTIF($K8:$AO8,"P")</f>
        <v>17</v>
      </c>
      <c r="AW8" s="30">
        <f>COUNTIF($K8:$AO8,"A")</f>
        <v>7</v>
      </c>
      <c r="AX8" s="30">
        <f t="shared" ref="AX8:AX27" si="3">COUNTIF($K8:$AO8,"L")</f>
        <v>3</v>
      </c>
      <c r="AY8" s="31">
        <f t="shared" ref="AY8:AY27" si="4">COUNTIF($K8:$AO8,"WO")</f>
        <v>4</v>
      </c>
      <c r="AZ8" s="31">
        <f>($M$5-$H$5)+1</f>
        <v>31</v>
      </c>
      <c r="BA8" s="32">
        <f>Table1311[[#This Row],[Days]]-Table1311[[#This Row],[Absent]]</f>
        <v>24</v>
      </c>
      <c r="BB8" s="33">
        <v>4500</v>
      </c>
      <c r="BC8" s="36">
        <f>Table1311[[#This Row],[Salary]]/Table1311[[#This Row],[Days]]</f>
        <v>145.16129032258064</v>
      </c>
      <c r="BD8" s="34">
        <f>Table1311[[#This Row],[Per Day Salary]]*Table1311[[#This Row],[Absent]]</f>
        <v>1016.1290322580645</v>
      </c>
      <c r="BE8" s="33">
        <f>Table1311[[#This Row],[Salary]]-Table1311[[#This Row],[Deduction ]]</f>
        <v>3483.8709677419356</v>
      </c>
      <c r="BF8" s="5"/>
      <c r="BG8" s="5"/>
      <c r="BH8" s="5"/>
      <c r="BI8" s="5"/>
      <c r="BJ8" s="5"/>
      <c r="BK8" s="5"/>
      <c r="BL8" s="5"/>
    </row>
    <row r="9" spans="6:66" x14ac:dyDescent="0.35">
      <c r="G9" s="7">
        <v>2</v>
      </c>
      <c r="H9" s="27" t="s">
        <v>38</v>
      </c>
      <c r="I9" s="7">
        <v>1002</v>
      </c>
      <c r="J9" s="15">
        <f t="shared" ref="J9:J27" si="5">COUNTIF(K$6:AO$6,"Sun")</f>
        <v>4</v>
      </c>
      <c r="K9" s="7" t="s">
        <v>36</v>
      </c>
      <c r="L9" s="7" t="s">
        <v>36</v>
      </c>
      <c r="M9" s="7" t="s">
        <v>36</v>
      </c>
      <c r="N9" s="7" t="s">
        <v>36</v>
      </c>
      <c r="O9" s="7" t="s">
        <v>58</v>
      </c>
      <c r="P9" s="7" t="s">
        <v>36</v>
      </c>
      <c r="Q9" s="7" t="s">
        <v>56</v>
      </c>
      <c r="R9" s="7" t="s">
        <v>56</v>
      </c>
      <c r="S9" s="7" t="s">
        <v>56</v>
      </c>
      <c r="T9" s="7" t="s">
        <v>57</v>
      </c>
      <c r="U9" s="7" t="s">
        <v>36</v>
      </c>
      <c r="V9" s="7" t="s">
        <v>58</v>
      </c>
      <c r="W9" s="7" t="s">
        <v>36</v>
      </c>
      <c r="X9" s="7" t="s">
        <v>56</v>
      </c>
      <c r="Y9" s="7" t="s">
        <v>56</v>
      </c>
      <c r="Z9" s="7" t="s">
        <v>57</v>
      </c>
      <c r="AA9" s="7" t="s">
        <v>36</v>
      </c>
      <c r="AB9" s="7" t="s">
        <v>36</v>
      </c>
      <c r="AC9" s="7" t="s">
        <v>58</v>
      </c>
      <c r="AD9" s="7" t="s">
        <v>36</v>
      </c>
      <c r="AE9" s="7" t="s">
        <v>36</v>
      </c>
      <c r="AF9" s="7" t="s">
        <v>36</v>
      </c>
      <c r="AG9" s="7" t="s">
        <v>36</v>
      </c>
      <c r="AH9" s="7" t="s">
        <v>36</v>
      </c>
      <c r="AI9" s="7" t="s">
        <v>36</v>
      </c>
      <c r="AJ9" s="7" t="s">
        <v>58</v>
      </c>
      <c r="AK9" s="7" t="s">
        <v>36</v>
      </c>
      <c r="AL9" s="7" t="s">
        <v>36</v>
      </c>
      <c r="AM9" s="7" t="s">
        <v>56</v>
      </c>
      <c r="AN9" s="7" t="s">
        <v>56</v>
      </c>
      <c r="AO9" s="7" t="s">
        <v>57</v>
      </c>
      <c r="AP9" s="5"/>
      <c r="AQ9" s="5"/>
      <c r="AR9" s="7">
        <v>2</v>
      </c>
      <c r="AS9" s="7" t="s">
        <v>38</v>
      </c>
      <c r="AT9" s="7" t="s">
        <v>71</v>
      </c>
      <c r="AU9" s="7">
        <v>1002</v>
      </c>
      <c r="AV9" s="30">
        <f t="shared" si="2"/>
        <v>17</v>
      </c>
      <c r="AW9" s="30">
        <f>COUNTIF($K9:$AO9,"A")</f>
        <v>7</v>
      </c>
      <c r="AX9" s="35">
        <f t="shared" si="3"/>
        <v>3</v>
      </c>
      <c r="AY9" s="31">
        <f t="shared" si="4"/>
        <v>4</v>
      </c>
      <c r="AZ9" s="31">
        <f t="shared" ref="AZ9:AZ27" si="6">($M$5-$H$5)+1</f>
        <v>31</v>
      </c>
      <c r="BA9" s="32">
        <f>Table1311[[#This Row],[Days]]-Table1311[[#This Row],[Absent]]</f>
        <v>24</v>
      </c>
      <c r="BB9" s="33">
        <v>4600</v>
      </c>
      <c r="BC9" s="36">
        <f>Table1311[[#This Row],[Salary]]/Table1311[[#This Row],[Days]]</f>
        <v>148.38709677419354</v>
      </c>
      <c r="BD9" s="34">
        <f>Table1311[[#This Row],[Per Day Salary]]*Table1311[[#This Row],[Absent]]</f>
        <v>1038.7096774193546</v>
      </c>
      <c r="BE9" s="33">
        <f>Table1311[[#This Row],[Salary]]-Table1311[[#This Row],[Deduction ]]</f>
        <v>3561.2903225806454</v>
      </c>
      <c r="BF9" s="5"/>
      <c r="BG9" s="5"/>
      <c r="BH9" s="5"/>
      <c r="BI9" s="5"/>
      <c r="BJ9" s="5"/>
      <c r="BK9" s="5"/>
      <c r="BL9" s="5"/>
    </row>
    <row r="10" spans="6:66" x14ac:dyDescent="0.35">
      <c r="G10" s="7">
        <v>3</v>
      </c>
      <c r="H10" s="27" t="s">
        <v>39</v>
      </c>
      <c r="I10" s="7">
        <v>1003</v>
      </c>
      <c r="J10" s="15">
        <f t="shared" si="5"/>
        <v>4</v>
      </c>
      <c r="K10" s="7" t="s">
        <v>36</v>
      </c>
      <c r="L10" s="7" t="s">
        <v>36</v>
      </c>
      <c r="M10" s="7" t="s">
        <v>36</v>
      </c>
      <c r="N10" s="7" t="s">
        <v>36</v>
      </c>
      <c r="O10" s="7" t="s">
        <v>58</v>
      </c>
      <c r="P10" s="7" t="s">
        <v>36</v>
      </c>
      <c r="Q10" s="7" t="s">
        <v>56</v>
      </c>
      <c r="R10" s="7" t="s">
        <v>56</v>
      </c>
      <c r="S10" s="7" t="s">
        <v>56</v>
      </c>
      <c r="T10" s="7" t="s">
        <v>57</v>
      </c>
      <c r="U10" s="7" t="s">
        <v>36</v>
      </c>
      <c r="V10" s="7" t="s">
        <v>58</v>
      </c>
      <c r="W10" s="7" t="s">
        <v>36</v>
      </c>
      <c r="X10" s="7" t="s">
        <v>56</v>
      </c>
      <c r="Y10" s="7" t="s">
        <v>56</v>
      </c>
      <c r="Z10" s="7" t="s">
        <v>57</v>
      </c>
      <c r="AA10" s="7" t="s">
        <v>36</v>
      </c>
      <c r="AB10" s="7" t="s">
        <v>36</v>
      </c>
      <c r="AC10" s="7" t="s">
        <v>58</v>
      </c>
      <c r="AD10" s="7" t="s">
        <v>36</v>
      </c>
      <c r="AE10" s="7" t="s">
        <v>36</v>
      </c>
      <c r="AF10" s="7" t="s">
        <v>36</v>
      </c>
      <c r="AG10" s="7" t="s">
        <v>36</v>
      </c>
      <c r="AH10" s="7" t="s">
        <v>36</v>
      </c>
      <c r="AI10" s="7" t="s">
        <v>36</v>
      </c>
      <c r="AJ10" s="7" t="s">
        <v>58</v>
      </c>
      <c r="AK10" s="7" t="s">
        <v>36</v>
      </c>
      <c r="AL10" s="7" t="s">
        <v>36</v>
      </c>
      <c r="AM10" s="7" t="s">
        <v>56</v>
      </c>
      <c r="AN10" s="7" t="s">
        <v>56</v>
      </c>
      <c r="AO10" s="7" t="s">
        <v>57</v>
      </c>
      <c r="AP10" s="5"/>
      <c r="AQ10" s="5"/>
      <c r="AR10" s="7">
        <v>3</v>
      </c>
      <c r="AS10" s="7" t="s">
        <v>39</v>
      </c>
      <c r="AT10" s="20" t="s">
        <v>71</v>
      </c>
      <c r="AU10" s="7">
        <v>1003</v>
      </c>
      <c r="AV10" s="30">
        <f t="shared" si="2"/>
        <v>17</v>
      </c>
      <c r="AW10" s="30">
        <f t="shared" ref="AW10:AW27" si="7">COUNTIF($K10:$AO10,"A")</f>
        <v>7</v>
      </c>
      <c r="AX10" s="30">
        <f t="shared" si="3"/>
        <v>3</v>
      </c>
      <c r="AY10" s="31">
        <f t="shared" si="4"/>
        <v>4</v>
      </c>
      <c r="AZ10" s="31">
        <f t="shared" si="6"/>
        <v>31</v>
      </c>
      <c r="BA10" s="32">
        <f>Table1311[[#This Row],[Days]]-Table1311[[#This Row],[Absent]]</f>
        <v>24</v>
      </c>
      <c r="BB10" s="33">
        <v>4700</v>
      </c>
      <c r="BC10" s="36">
        <f>Table1311[[#This Row],[Salary]]/Table1311[[#This Row],[Days]]</f>
        <v>151.61290322580646</v>
      </c>
      <c r="BD10" s="34">
        <f>Table1311[[#This Row],[Per Day Salary]]*Table1311[[#This Row],[Absent]]</f>
        <v>1061.2903225806454</v>
      </c>
      <c r="BE10" s="33">
        <f>Table1311[[#This Row],[Salary]]-Table1311[[#This Row],[Deduction ]]</f>
        <v>3638.7096774193546</v>
      </c>
      <c r="BF10" s="5"/>
      <c r="BG10" s="5"/>
      <c r="BH10" s="5"/>
      <c r="BI10" s="5"/>
      <c r="BJ10" s="5"/>
      <c r="BK10" s="5"/>
      <c r="BL10" s="5"/>
    </row>
    <row r="11" spans="6:66" x14ac:dyDescent="0.35">
      <c r="G11" s="7">
        <v>4</v>
      </c>
      <c r="H11" s="27" t="s">
        <v>59</v>
      </c>
      <c r="I11" s="7">
        <v>1004</v>
      </c>
      <c r="J11" s="15">
        <f t="shared" si="5"/>
        <v>4</v>
      </c>
      <c r="K11" s="7" t="s">
        <v>36</v>
      </c>
      <c r="L11" s="7" t="s">
        <v>36</v>
      </c>
      <c r="M11" s="7" t="s">
        <v>36</v>
      </c>
      <c r="N11" s="7" t="s">
        <v>36</v>
      </c>
      <c r="O11" s="7" t="s">
        <v>58</v>
      </c>
      <c r="P11" s="7" t="s">
        <v>36</v>
      </c>
      <c r="Q11" s="7" t="s">
        <v>56</v>
      </c>
      <c r="R11" s="7" t="s">
        <v>56</v>
      </c>
      <c r="S11" s="7" t="s">
        <v>56</v>
      </c>
      <c r="T11" s="7" t="s">
        <v>57</v>
      </c>
      <c r="U11" s="7" t="s">
        <v>36</v>
      </c>
      <c r="V11" s="7" t="s">
        <v>58</v>
      </c>
      <c r="W11" s="7" t="s">
        <v>36</v>
      </c>
      <c r="X11" s="7" t="s">
        <v>56</v>
      </c>
      <c r="Y11" s="7" t="s">
        <v>56</v>
      </c>
      <c r="Z11" s="7" t="s">
        <v>57</v>
      </c>
      <c r="AA11" s="7" t="s">
        <v>36</v>
      </c>
      <c r="AB11" s="7" t="s">
        <v>36</v>
      </c>
      <c r="AC11" s="7" t="s">
        <v>58</v>
      </c>
      <c r="AD11" s="7" t="s">
        <v>36</v>
      </c>
      <c r="AE11" s="7" t="s">
        <v>36</v>
      </c>
      <c r="AF11" s="7" t="s">
        <v>36</v>
      </c>
      <c r="AG11" s="7" t="s">
        <v>36</v>
      </c>
      <c r="AH11" s="7" t="s">
        <v>36</v>
      </c>
      <c r="AI11" s="7" t="s">
        <v>36</v>
      </c>
      <c r="AJ11" s="7" t="s">
        <v>58</v>
      </c>
      <c r="AK11" s="7" t="s">
        <v>36</v>
      </c>
      <c r="AL11" s="7" t="s">
        <v>36</v>
      </c>
      <c r="AM11" s="7" t="s">
        <v>56</v>
      </c>
      <c r="AN11" s="7" t="s">
        <v>56</v>
      </c>
      <c r="AO11" s="7" t="s">
        <v>57</v>
      </c>
      <c r="AP11" s="5"/>
      <c r="AQ11" s="5"/>
      <c r="AR11" s="7">
        <v>4</v>
      </c>
      <c r="AS11" s="7" t="s">
        <v>59</v>
      </c>
      <c r="AT11" s="7" t="s">
        <v>71</v>
      </c>
      <c r="AU11" s="7">
        <v>1004</v>
      </c>
      <c r="AV11" s="30">
        <f t="shared" si="2"/>
        <v>17</v>
      </c>
      <c r="AW11" s="30">
        <f t="shared" si="7"/>
        <v>7</v>
      </c>
      <c r="AX11" s="30">
        <f t="shared" si="3"/>
        <v>3</v>
      </c>
      <c r="AY11" s="31">
        <f t="shared" si="4"/>
        <v>4</v>
      </c>
      <c r="AZ11" s="31">
        <f t="shared" si="6"/>
        <v>31</v>
      </c>
      <c r="BA11" s="32">
        <f>Table1311[[#This Row],[Days]]-Table1311[[#This Row],[Absent]]</f>
        <v>24</v>
      </c>
      <c r="BB11" s="33">
        <v>4800</v>
      </c>
      <c r="BC11" s="36">
        <f>Table1311[[#This Row],[Salary]]/Table1311[[#This Row],[Days]]</f>
        <v>154.83870967741936</v>
      </c>
      <c r="BD11" s="34">
        <f>Table1311[[#This Row],[Per Day Salary]]*Table1311[[#This Row],[Absent]]</f>
        <v>1083.8709677419356</v>
      </c>
      <c r="BE11" s="33">
        <f>Table1311[[#This Row],[Salary]]-Table1311[[#This Row],[Deduction ]]</f>
        <v>3716.1290322580644</v>
      </c>
      <c r="BF11" s="5"/>
      <c r="BG11" s="5"/>
      <c r="BH11" s="5"/>
      <c r="BI11" s="5"/>
      <c r="BJ11" s="5"/>
      <c r="BK11" s="5"/>
      <c r="BL11" s="5"/>
    </row>
    <row r="12" spans="6:66" x14ac:dyDescent="0.35">
      <c r="G12" s="7">
        <v>5</v>
      </c>
      <c r="H12" s="27" t="s">
        <v>40</v>
      </c>
      <c r="I12" s="7">
        <v>1005</v>
      </c>
      <c r="J12" s="15">
        <f t="shared" si="5"/>
        <v>4</v>
      </c>
      <c r="K12" s="7" t="s">
        <v>36</v>
      </c>
      <c r="L12" s="7" t="s">
        <v>36</v>
      </c>
      <c r="M12" s="7" t="s">
        <v>36</v>
      </c>
      <c r="N12" s="7" t="s">
        <v>36</v>
      </c>
      <c r="O12" s="7" t="s">
        <v>58</v>
      </c>
      <c r="P12" s="7" t="s">
        <v>36</v>
      </c>
      <c r="Q12" s="7" t="s">
        <v>56</v>
      </c>
      <c r="R12" s="7" t="s">
        <v>56</v>
      </c>
      <c r="S12" s="7" t="s">
        <v>56</v>
      </c>
      <c r="T12" s="7" t="s">
        <v>57</v>
      </c>
      <c r="U12" s="7" t="s">
        <v>36</v>
      </c>
      <c r="V12" s="7" t="s">
        <v>58</v>
      </c>
      <c r="W12" s="7" t="s">
        <v>36</v>
      </c>
      <c r="X12" s="7" t="s">
        <v>56</v>
      </c>
      <c r="Y12" s="7" t="s">
        <v>56</v>
      </c>
      <c r="Z12" s="7" t="s">
        <v>57</v>
      </c>
      <c r="AA12" s="7" t="s">
        <v>36</v>
      </c>
      <c r="AB12" s="7" t="s">
        <v>36</v>
      </c>
      <c r="AC12" s="7" t="s">
        <v>58</v>
      </c>
      <c r="AD12" s="7" t="s">
        <v>36</v>
      </c>
      <c r="AE12" s="7" t="s">
        <v>36</v>
      </c>
      <c r="AF12" s="7" t="s">
        <v>36</v>
      </c>
      <c r="AG12" s="7" t="s">
        <v>36</v>
      </c>
      <c r="AH12" s="7" t="s">
        <v>36</v>
      </c>
      <c r="AI12" s="7" t="s">
        <v>36</v>
      </c>
      <c r="AJ12" s="7" t="s">
        <v>58</v>
      </c>
      <c r="AK12" s="7" t="s">
        <v>36</v>
      </c>
      <c r="AL12" s="7" t="s">
        <v>36</v>
      </c>
      <c r="AM12" s="7" t="s">
        <v>56</v>
      </c>
      <c r="AN12" s="7" t="s">
        <v>56</v>
      </c>
      <c r="AO12" s="7" t="s">
        <v>57</v>
      </c>
      <c r="AP12" s="5"/>
      <c r="AQ12" s="5"/>
      <c r="AR12" s="7">
        <v>5</v>
      </c>
      <c r="AS12" s="7" t="s">
        <v>40</v>
      </c>
      <c r="AT12" s="20" t="s">
        <v>71</v>
      </c>
      <c r="AU12" s="7">
        <v>1005</v>
      </c>
      <c r="AV12" s="30">
        <f t="shared" si="2"/>
        <v>17</v>
      </c>
      <c r="AW12" s="30">
        <f t="shared" si="7"/>
        <v>7</v>
      </c>
      <c r="AX12" s="30">
        <f t="shared" si="3"/>
        <v>3</v>
      </c>
      <c r="AY12" s="31">
        <f t="shared" si="4"/>
        <v>4</v>
      </c>
      <c r="AZ12" s="31">
        <f t="shared" si="6"/>
        <v>31</v>
      </c>
      <c r="BA12" s="32">
        <f>Table1311[[#This Row],[Days]]-Table1311[[#This Row],[Absent]]</f>
        <v>24</v>
      </c>
      <c r="BB12" s="33">
        <v>4900</v>
      </c>
      <c r="BC12" s="36">
        <f>Table1311[[#This Row],[Salary]]/Table1311[[#This Row],[Days]]</f>
        <v>158.06451612903226</v>
      </c>
      <c r="BD12" s="34">
        <f>Table1311[[#This Row],[Per Day Salary]]*Table1311[[#This Row],[Absent]]</f>
        <v>1106.4516129032259</v>
      </c>
      <c r="BE12" s="33">
        <f>Table1311[[#This Row],[Salary]]-Table1311[[#This Row],[Deduction ]]</f>
        <v>3793.5483870967741</v>
      </c>
      <c r="BF12" s="5"/>
      <c r="BG12" s="5"/>
      <c r="BH12" s="5"/>
      <c r="BI12" s="5"/>
      <c r="BJ12" s="5"/>
      <c r="BK12" s="5"/>
      <c r="BL12" s="5"/>
    </row>
    <row r="13" spans="6:66" x14ac:dyDescent="0.35">
      <c r="G13" s="7">
        <v>6</v>
      </c>
      <c r="H13" s="27" t="s">
        <v>41</v>
      </c>
      <c r="I13" s="7">
        <v>1006</v>
      </c>
      <c r="J13" s="15">
        <f t="shared" si="5"/>
        <v>4</v>
      </c>
      <c r="K13" s="7" t="s">
        <v>36</v>
      </c>
      <c r="L13" s="7" t="s">
        <v>36</v>
      </c>
      <c r="M13" s="7" t="s">
        <v>36</v>
      </c>
      <c r="N13" s="7" t="s">
        <v>36</v>
      </c>
      <c r="O13" s="7" t="s">
        <v>58</v>
      </c>
      <c r="P13" s="7" t="s">
        <v>36</v>
      </c>
      <c r="Q13" s="7" t="s">
        <v>56</v>
      </c>
      <c r="R13" s="7" t="s">
        <v>56</v>
      </c>
      <c r="S13" s="7" t="s">
        <v>56</v>
      </c>
      <c r="T13" s="7" t="s">
        <v>57</v>
      </c>
      <c r="U13" s="7" t="s">
        <v>36</v>
      </c>
      <c r="V13" s="7" t="s">
        <v>58</v>
      </c>
      <c r="W13" s="7" t="s">
        <v>36</v>
      </c>
      <c r="X13" s="7" t="s">
        <v>56</v>
      </c>
      <c r="Y13" s="7" t="s">
        <v>56</v>
      </c>
      <c r="Z13" s="7" t="s">
        <v>57</v>
      </c>
      <c r="AA13" s="7" t="s">
        <v>36</v>
      </c>
      <c r="AB13" s="7" t="s">
        <v>36</v>
      </c>
      <c r="AC13" s="7" t="s">
        <v>58</v>
      </c>
      <c r="AD13" s="7" t="s">
        <v>36</v>
      </c>
      <c r="AE13" s="7" t="s">
        <v>36</v>
      </c>
      <c r="AF13" s="7" t="s">
        <v>36</v>
      </c>
      <c r="AG13" s="7" t="s">
        <v>36</v>
      </c>
      <c r="AH13" s="7" t="s">
        <v>36</v>
      </c>
      <c r="AI13" s="7" t="s">
        <v>36</v>
      </c>
      <c r="AJ13" s="7" t="s">
        <v>58</v>
      </c>
      <c r="AK13" s="7" t="s">
        <v>36</v>
      </c>
      <c r="AL13" s="7" t="s">
        <v>36</v>
      </c>
      <c r="AM13" s="7" t="s">
        <v>56</v>
      </c>
      <c r="AN13" s="7" t="s">
        <v>56</v>
      </c>
      <c r="AO13" s="7" t="s">
        <v>57</v>
      </c>
      <c r="AP13" s="5"/>
      <c r="AQ13" s="5"/>
      <c r="AR13" s="7">
        <v>6</v>
      </c>
      <c r="AS13" s="7" t="s">
        <v>41</v>
      </c>
      <c r="AT13" s="7" t="s">
        <v>71</v>
      </c>
      <c r="AU13" s="7">
        <v>1006</v>
      </c>
      <c r="AV13" s="30">
        <f t="shared" si="2"/>
        <v>17</v>
      </c>
      <c r="AW13" s="30">
        <f t="shared" si="7"/>
        <v>7</v>
      </c>
      <c r="AX13" s="30">
        <f t="shared" si="3"/>
        <v>3</v>
      </c>
      <c r="AY13" s="31">
        <f t="shared" si="4"/>
        <v>4</v>
      </c>
      <c r="AZ13" s="31">
        <f t="shared" si="6"/>
        <v>31</v>
      </c>
      <c r="BA13" s="32">
        <f>Table1311[[#This Row],[Days]]-Table1311[[#This Row],[Absent]]</f>
        <v>24</v>
      </c>
      <c r="BB13" s="33">
        <v>5000</v>
      </c>
      <c r="BC13" s="36">
        <f>Table1311[[#This Row],[Salary]]/Table1311[[#This Row],[Days]]</f>
        <v>161.29032258064515</v>
      </c>
      <c r="BD13" s="34">
        <f>Table1311[[#This Row],[Per Day Salary]]*Table1311[[#This Row],[Absent]]</f>
        <v>1129.0322580645161</v>
      </c>
      <c r="BE13" s="33">
        <f>Table1311[[#This Row],[Salary]]-Table1311[[#This Row],[Deduction ]]</f>
        <v>3870.9677419354839</v>
      </c>
      <c r="BF13" s="5"/>
      <c r="BG13" s="5"/>
      <c r="BH13" s="5"/>
      <c r="BI13" s="5"/>
      <c r="BJ13" s="5"/>
      <c r="BK13" s="5"/>
      <c r="BL13" s="5"/>
    </row>
    <row r="14" spans="6:66" x14ac:dyDescent="0.35">
      <c r="G14" s="7">
        <v>7</v>
      </c>
      <c r="H14" s="27" t="s">
        <v>42</v>
      </c>
      <c r="I14" s="7">
        <v>1007</v>
      </c>
      <c r="J14" s="15">
        <f t="shared" si="5"/>
        <v>4</v>
      </c>
      <c r="K14" s="7" t="s">
        <v>36</v>
      </c>
      <c r="L14" s="7" t="s">
        <v>36</v>
      </c>
      <c r="M14" s="7" t="s">
        <v>36</v>
      </c>
      <c r="N14" s="7" t="s">
        <v>36</v>
      </c>
      <c r="O14" s="7" t="s">
        <v>58</v>
      </c>
      <c r="P14" s="7" t="s">
        <v>36</v>
      </c>
      <c r="Q14" s="7" t="s">
        <v>56</v>
      </c>
      <c r="R14" s="7" t="s">
        <v>56</v>
      </c>
      <c r="S14" s="7" t="s">
        <v>56</v>
      </c>
      <c r="T14" s="7" t="s">
        <v>57</v>
      </c>
      <c r="U14" s="7" t="s">
        <v>36</v>
      </c>
      <c r="V14" s="7" t="s">
        <v>58</v>
      </c>
      <c r="W14" s="7" t="s">
        <v>36</v>
      </c>
      <c r="X14" s="7" t="s">
        <v>56</v>
      </c>
      <c r="Y14" s="7" t="s">
        <v>56</v>
      </c>
      <c r="Z14" s="7" t="s">
        <v>57</v>
      </c>
      <c r="AA14" s="7" t="s">
        <v>36</v>
      </c>
      <c r="AB14" s="7" t="s">
        <v>36</v>
      </c>
      <c r="AC14" s="7" t="s">
        <v>58</v>
      </c>
      <c r="AD14" s="7" t="s">
        <v>36</v>
      </c>
      <c r="AE14" s="7" t="s">
        <v>36</v>
      </c>
      <c r="AF14" s="7" t="s">
        <v>36</v>
      </c>
      <c r="AG14" s="7" t="s">
        <v>36</v>
      </c>
      <c r="AH14" s="7" t="s">
        <v>36</v>
      </c>
      <c r="AI14" s="7" t="s">
        <v>36</v>
      </c>
      <c r="AJ14" s="7" t="s">
        <v>58</v>
      </c>
      <c r="AK14" s="7" t="s">
        <v>36</v>
      </c>
      <c r="AL14" s="7" t="s">
        <v>36</v>
      </c>
      <c r="AM14" s="7" t="s">
        <v>56</v>
      </c>
      <c r="AN14" s="7" t="s">
        <v>56</v>
      </c>
      <c r="AO14" s="7" t="s">
        <v>57</v>
      </c>
      <c r="AR14" s="7">
        <v>7</v>
      </c>
      <c r="AS14" s="7" t="s">
        <v>42</v>
      </c>
      <c r="AT14" s="20" t="s">
        <v>71</v>
      </c>
      <c r="AU14" s="7">
        <v>1007</v>
      </c>
      <c r="AV14" s="30">
        <f t="shared" si="2"/>
        <v>17</v>
      </c>
      <c r="AW14" s="30">
        <f t="shared" si="7"/>
        <v>7</v>
      </c>
      <c r="AX14" s="30">
        <f t="shared" si="3"/>
        <v>3</v>
      </c>
      <c r="AY14" s="31">
        <f t="shared" si="4"/>
        <v>4</v>
      </c>
      <c r="AZ14" s="31">
        <f t="shared" si="6"/>
        <v>31</v>
      </c>
      <c r="BA14" s="32">
        <f>Table1311[[#This Row],[Days]]-Table1311[[#This Row],[Absent]]</f>
        <v>24</v>
      </c>
      <c r="BB14" s="33">
        <v>5100</v>
      </c>
      <c r="BC14" s="36">
        <f>Table1311[[#This Row],[Salary]]/Table1311[[#This Row],[Days]]</f>
        <v>164.51612903225808</v>
      </c>
      <c r="BD14" s="34">
        <f>Table1311[[#This Row],[Per Day Salary]]*Table1311[[#This Row],[Absent]]</f>
        <v>1151.6129032258066</v>
      </c>
      <c r="BE14" s="33">
        <f>Table1311[[#This Row],[Salary]]-Table1311[[#This Row],[Deduction ]]</f>
        <v>3948.3870967741932</v>
      </c>
    </row>
    <row r="15" spans="6:66" x14ac:dyDescent="0.35">
      <c r="G15" s="7">
        <v>8</v>
      </c>
      <c r="H15" s="27" t="s">
        <v>43</v>
      </c>
      <c r="I15" s="7">
        <v>1008</v>
      </c>
      <c r="J15" s="15">
        <f t="shared" si="5"/>
        <v>4</v>
      </c>
      <c r="K15" s="7" t="s">
        <v>36</v>
      </c>
      <c r="L15" s="7" t="s">
        <v>36</v>
      </c>
      <c r="M15" s="7" t="s">
        <v>36</v>
      </c>
      <c r="N15" s="7" t="s">
        <v>36</v>
      </c>
      <c r="O15" s="7" t="s">
        <v>58</v>
      </c>
      <c r="P15" s="7" t="s">
        <v>36</v>
      </c>
      <c r="Q15" s="7" t="s">
        <v>56</v>
      </c>
      <c r="R15" s="7" t="s">
        <v>56</v>
      </c>
      <c r="S15" s="7" t="s">
        <v>56</v>
      </c>
      <c r="T15" s="7" t="s">
        <v>57</v>
      </c>
      <c r="U15" s="7" t="s">
        <v>36</v>
      </c>
      <c r="V15" s="7" t="s">
        <v>58</v>
      </c>
      <c r="W15" s="7" t="s">
        <v>36</v>
      </c>
      <c r="X15" s="7" t="s">
        <v>56</v>
      </c>
      <c r="Y15" s="7" t="s">
        <v>56</v>
      </c>
      <c r="Z15" s="7" t="s">
        <v>57</v>
      </c>
      <c r="AA15" s="7" t="s">
        <v>36</v>
      </c>
      <c r="AB15" s="7" t="s">
        <v>36</v>
      </c>
      <c r="AC15" s="7" t="s">
        <v>58</v>
      </c>
      <c r="AD15" s="7" t="s">
        <v>36</v>
      </c>
      <c r="AE15" s="7" t="s">
        <v>36</v>
      </c>
      <c r="AF15" s="7" t="s">
        <v>36</v>
      </c>
      <c r="AG15" s="7" t="s">
        <v>36</v>
      </c>
      <c r="AH15" s="7" t="s">
        <v>36</v>
      </c>
      <c r="AI15" s="7" t="s">
        <v>36</v>
      </c>
      <c r="AJ15" s="7" t="s">
        <v>58</v>
      </c>
      <c r="AK15" s="7" t="s">
        <v>36</v>
      </c>
      <c r="AL15" s="7" t="s">
        <v>36</v>
      </c>
      <c r="AM15" s="7" t="s">
        <v>56</v>
      </c>
      <c r="AN15" s="7" t="s">
        <v>56</v>
      </c>
      <c r="AO15" s="7" t="s">
        <v>57</v>
      </c>
      <c r="AR15" s="7">
        <v>8</v>
      </c>
      <c r="AS15" s="7" t="s">
        <v>43</v>
      </c>
      <c r="AT15" s="7" t="s">
        <v>71</v>
      </c>
      <c r="AU15" s="7">
        <v>1008</v>
      </c>
      <c r="AV15" s="30">
        <f t="shared" si="2"/>
        <v>17</v>
      </c>
      <c r="AW15" s="30">
        <f t="shared" si="7"/>
        <v>7</v>
      </c>
      <c r="AX15" s="30">
        <f t="shared" si="3"/>
        <v>3</v>
      </c>
      <c r="AY15" s="31">
        <f t="shared" si="4"/>
        <v>4</v>
      </c>
      <c r="AZ15" s="31">
        <f t="shared" si="6"/>
        <v>31</v>
      </c>
      <c r="BA15" s="32">
        <f>Table1311[[#This Row],[Days]]-Table1311[[#This Row],[Absent]]</f>
        <v>24</v>
      </c>
      <c r="BB15" s="33">
        <v>5200</v>
      </c>
      <c r="BC15" s="36">
        <f>Table1311[[#This Row],[Salary]]/Table1311[[#This Row],[Days]]</f>
        <v>167.74193548387098</v>
      </c>
      <c r="BD15" s="34">
        <f>Table1311[[#This Row],[Per Day Salary]]*Table1311[[#This Row],[Absent]]</f>
        <v>1174.1935483870968</v>
      </c>
      <c r="BE15" s="33">
        <f>Table1311[[#This Row],[Salary]]-Table1311[[#This Row],[Deduction ]]</f>
        <v>4025.8064516129034</v>
      </c>
    </row>
    <row r="16" spans="6:66" ht="15" thickBot="1" x14ac:dyDescent="0.4">
      <c r="G16" s="7">
        <v>9</v>
      </c>
      <c r="H16" s="27" t="s">
        <v>44</v>
      </c>
      <c r="I16" s="7">
        <v>1009</v>
      </c>
      <c r="J16" s="15">
        <f t="shared" si="5"/>
        <v>4</v>
      </c>
      <c r="K16" s="7" t="s">
        <v>36</v>
      </c>
      <c r="L16" s="7" t="s">
        <v>36</v>
      </c>
      <c r="M16" s="7" t="s">
        <v>36</v>
      </c>
      <c r="N16" s="7" t="s">
        <v>36</v>
      </c>
      <c r="O16" s="7" t="s">
        <v>58</v>
      </c>
      <c r="P16" s="7" t="s">
        <v>36</v>
      </c>
      <c r="Q16" s="7" t="s">
        <v>56</v>
      </c>
      <c r="R16" s="7" t="s">
        <v>56</v>
      </c>
      <c r="S16" s="7" t="s">
        <v>56</v>
      </c>
      <c r="T16" s="7" t="s">
        <v>57</v>
      </c>
      <c r="U16" s="7" t="s">
        <v>36</v>
      </c>
      <c r="V16" s="7" t="s">
        <v>58</v>
      </c>
      <c r="W16" s="7" t="s">
        <v>36</v>
      </c>
      <c r="X16" s="7" t="s">
        <v>56</v>
      </c>
      <c r="Y16" s="7" t="s">
        <v>56</v>
      </c>
      <c r="Z16" s="7" t="s">
        <v>57</v>
      </c>
      <c r="AA16" s="7" t="s">
        <v>36</v>
      </c>
      <c r="AB16" s="7" t="s">
        <v>36</v>
      </c>
      <c r="AC16" s="7" t="s">
        <v>58</v>
      </c>
      <c r="AD16" s="7" t="s">
        <v>36</v>
      </c>
      <c r="AE16" s="7" t="s">
        <v>36</v>
      </c>
      <c r="AF16" s="7" t="s">
        <v>36</v>
      </c>
      <c r="AG16" s="7" t="s">
        <v>36</v>
      </c>
      <c r="AH16" s="7" t="s">
        <v>36</v>
      </c>
      <c r="AI16" s="7" t="s">
        <v>36</v>
      </c>
      <c r="AJ16" s="7" t="s">
        <v>58</v>
      </c>
      <c r="AK16" s="7" t="s">
        <v>36</v>
      </c>
      <c r="AL16" s="7" t="s">
        <v>36</v>
      </c>
      <c r="AM16" s="7" t="s">
        <v>56</v>
      </c>
      <c r="AN16" s="7" t="s">
        <v>56</v>
      </c>
      <c r="AO16" s="7" t="s">
        <v>57</v>
      </c>
      <c r="AR16" s="7">
        <v>9</v>
      </c>
      <c r="AS16" s="7" t="s">
        <v>44</v>
      </c>
      <c r="AT16" s="20" t="s">
        <v>71</v>
      </c>
      <c r="AU16" s="7">
        <v>1009</v>
      </c>
      <c r="AV16" s="30">
        <f t="shared" si="2"/>
        <v>17</v>
      </c>
      <c r="AW16" s="30">
        <f t="shared" si="7"/>
        <v>7</v>
      </c>
      <c r="AX16" s="30">
        <f t="shared" si="3"/>
        <v>3</v>
      </c>
      <c r="AY16" s="31">
        <f t="shared" si="4"/>
        <v>4</v>
      </c>
      <c r="AZ16" s="31">
        <f t="shared" si="6"/>
        <v>31</v>
      </c>
      <c r="BA16" s="32">
        <f>Table1311[[#This Row],[Days]]-Table1311[[#This Row],[Absent]]</f>
        <v>24</v>
      </c>
      <c r="BB16" s="33">
        <v>5300</v>
      </c>
      <c r="BC16" s="36">
        <f>Table1311[[#This Row],[Salary]]/Table1311[[#This Row],[Days]]</f>
        <v>170.96774193548387</v>
      </c>
      <c r="BD16" s="34">
        <f>Table1311[[#This Row],[Per Day Salary]]*Table1311[[#This Row],[Absent]]</f>
        <v>1196.7741935483871</v>
      </c>
      <c r="BE16" s="33">
        <f>Table1311[[#This Row],[Salary]]-Table1311[[#This Row],[Deduction ]]</f>
        <v>4103.2258064516127</v>
      </c>
    </row>
    <row r="17" spans="7:60" ht="12.65" customHeight="1" thickBot="1" x14ac:dyDescent="0.4">
      <c r="G17" s="7">
        <v>10</v>
      </c>
      <c r="H17" s="27" t="s">
        <v>45</v>
      </c>
      <c r="I17" s="7">
        <v>1010</v>
      </c>
      <c r="J17" s="15">
        <f t="shared" si="5"/>
        <v>4</v>
      </c>
      <c r="K17" s="7" t="s">
        <v>36</v>
      </c>
      <c r="L17" s="7" t="s">
        <v>36</v>
      </c>
      <c r="M17" s="7" t="s">
        <v>36</v>
      </c>
      <c r="N17" s="7" t="s">
        <v>36</v>
      </c>
      <c r="O17" s="7" t="s">
        <v>58</v>
      </c>
      <c r="P17" s="7" t="s">
        <v>36</v>
      </c>
      <c r="Q17" s="7" t="s">
        <v>56</v>
      </c>
      <c r="R17" s="7" t="s">
        <v>56</v>
      </c>
      <c r="S17" s="7" t="s">
        <v>56</v>
      </c>
      <c r="T17" s="7" t="s">
        <v>57</v>
      </c>
      <c r="U17" s="7" t="s">
        <v>36</v>
      </c>
      <c r="V17" s="7" t="s">
        <v>58</v>
      </c>
      <c r="W17" s="7" t="s">
        <v>36</v>
      </c>
      <c r="X17" s="7" t="s">
        <v>56</v>
      </c>
      <c r="Y17" s="7" t="s">
        <v>56</v>
      </c>
      <c r="Z17" s="7" t="s">
        <v>57</v>
      </c>
      <c r="AA17" s="7" t="s">
        <v>36</v>
      </c>
      <c r="AB17" s="7" t="s">
        <v>36</v>
      </c>
      <c r="AC17" s="7" t="s">
        <v>58</v>
      </c>
      <c r="AD17" s="7" t="s">
        <v>36</v>
      </c>
      <c r="AE17" s="7" t="s">
        <v>36</v>
      </c>
      <c r="AF17" s="7" t="s">
        <v>36</v>
      </c>
      <c r="AG17" s="7" t="s">
        <v>36</v>
      </c>
      <c r="AH17" s="7" t="s">
        <v>36</v>
      </c>
      <c r="AI17" s="7" t="s">
        <v>36</v>
      </c>
      <c r="AJ17" s="7" t="s">
        <v>58</v>
      </c>
      <c r="AK17" s="7" t="s">
        <v>36</v>
      </c>
      <c r="AL17" s="7" t="s">
        <v>36</v>
      </c>
      <c r="AM17" s="7" t="s">
        <v>56</v>
      </c>
      <c r="AN17" s="7" t="s">
        <v>56</v>
      </c>
      <c r="AO17" s="7" t="s">
        <v>57</v>
      </c>
      <c r="AR17" s="7">
        <v>10</v>
      </c>
      <c r="AS17" s="7" t="s">
        <v>45</v>
      </c>
      <c r="AT17" s="7" t="s">
        <v>71</v>
      </c>
      <c r="AU17" s="7">
        <v>1010</v>
      </c>
      <c r="AV17" s="30">
        <f t="shared" si="2"/>
        <v>17</v>
      </c>
      <c r="AW17" s="30">
        <f t="shared" si="7"/>
        <v>7</v>
      </c>
      <c r="AX17" s="30">
        <f t="shared" si="3"/>
        <v>3</v>
      </c>
      <c r="AY17" s="31">
        <f t="shared" si="4"/>
        <v>4</v>
      </c>
      <c r="AZ17" s="31">
        <f t="shared" si="6"/>
        <v>31</v>
      </c>
      <c r="BA17" s="32">
        <f>Table1311[[#This Row],[Days]]-Table1311[[#This Row],[Absent]]</f>
        <v>24</v>
      </c>
      <c r="BB17" s="33">
        <v>5400</v>
      </c>
      <c r="BC17" s="36">
        <f>Table1311[[#This Row],[Salary]]/Table1311[[#This Row],[Days]]</f>
        <v>174.19354838709677</v>
      </c>
      <c r="BD17" s="34">
        <f>Table1311[[#This Row],[Per Day Salary]]*Table1311[[#This Row],[Absent]]</f>
        <v>1219.3548387096773</v>
      </c>
      <c r="BE17" s="33">
        <f>Table1311[[#This Row],[Salary]]-Table1311[[#This Row],[Deduction ]]</f>
        <v>4180.6451612903229</v>
      </c>
      <c r="BH17" s="19"/>
    </row>
    <row r="18" spans="7:60" x14ac:dyDescent="0.35">
      <c r="G18" s="7">
        <v>11</v>
      </c>
      <c r="H18" s="27" t="s">
        <v>46</v>
      </c>
      <c r="I18" s="7">
        <v>1011</v>
      </c>
      <c r="J18" s="15">
        <f t="shared" si="5"/>
        <v>4</v>
      </c>
      <c r="K18" s="7" t="s">
        <v>36</v>
      </c>
      <c r="L18" s="7" t="s">
        <v>36</v>
      </c>
      <c r="M18" s="7" t="s">
        <v>36</v>
      </c>
      <c r="N18" s="7" t="s">
        <v>36</v>
      </c>
      <c r="O18" s="7" t="s">
        <v>58</v>
      </c>
      <c r="P18" s="7" t="s">
        <v>36</v>
      </c>
      <c r="Q18" s="7" t="s">
        <v>56</v>
      </c>
      <c r="R18" s="7" t="s">
        <v>56</v>
      </c>
      <c r="S18" s="7" t="s">
        <v>56</v>
      </c>
      <c r="T18" s="7" t="s">
        <v>57</v>
      </c>
      <c r="U18" s="7" t="s">
        <v>36</v>
      </c>
      <c r="V18" s="7" t="s">
        <v>58</v>
      </c>
      <c r="W18" s="7" t="s">
        <v>36</v>
      </c>
      <c r="X18" s="7" t="s">
        <v>56</v>
      </c>
      <c r="Y18" s="7" t="s">
        <v>56</v>
      </c>
      <c r="Z18" s="7" t="s">
        <v>57</v>
      </c>
      <c r="AA18" s="7" t="s">
        <v>36</v>
      </c>
      <c r="AB18" s="7" t="s">
        <v>36</v>
      </c>
      <c r="AC18" s="7" t="s">
        <v>58</v>
      </c>
      <c r="AD18" s="7" t="s">
        <v>36</v>
      </c>
      <c r="AE18" s="7" t="s">
        <v>36</v>
      </c>
      <c r="AF18" s="7" t="s">
        <v>36</v>
      </c>
      <c r="AG18" s="7" t="s">
        <v>36</v>
      </c>
      <c r="AH18" s="7" t="s">
        <v>36</v>
      </c>
      <c r="AI18" s="7" t="s">
        <v>36</v>
      </c>
      <c r="AJ18" s="7" t="s">
        <v>58</v>
      </c>
      <c r="AK18" s="7" t="s">
        <v>36</v>
      </c>
      <c r="AL18" s="7" t="s">
        <v>36</v>
      </c>
      <c r="AM18" s="7" t="s">
        <v>56</v>
      </c>
      <c r="AN18" s="7" t="s">
        <v>56</v>
      </c>
      <c r="AO18" s="7" t="s">
        <v>57</v>
      </c>
      <c r="AR18" s="7">
        <v>11</v>
      </c>
      <c r="AS18" s="7" t="s">
        <v>46</v>
      </c>
      <c r="AT18" s="20" t="s">
        <v>71</v>
      </c>
      <c r="AU18" s="7">
        <v>1011</v>
      </c>
      <c r="AV18" s="30">
        <f t="shared" si="2"/>
        <v>17</v>
      </c>
      <c r="AW18" s="30">
        <f t="shared" si="7"/>
        <v>7</v>
      </c>
      <c r="AX18" s="30">
        <f t="shared" si="3"/>
        <v>3</v>
      </c>
      <c r="AY18" s="31">
        <f t="shared" si="4"/>
        <v>4</v>
      </c>
      <c r="AZ18" s="31">
        <f t="shared" si="6"/>
        <v>31</v>
      </c>
      <c r="BA18" s="32">
        <f>Table1311[[#This Row],[Days]]-Table1311[[#This Row],[Absent]]</f>
        <v>24</v>
      </c>
      <c r="BB18" s="33">
        <v>5500</v>
      </c>
      <c r="BC18" s="36">
        <f>Table1311[[#This Row],[Salary]]/Table1311[[#This Row],[Days]]</f>
        <v>177.41935483870967</v>
      </c>
      <c r="BD18" s="34">
        <f>Table1311[[#This Row],[Per Day Salary]]*Table1311[[#This Row],[Absent]]</f>
        <v>1241.9354838709676</v>
      </c>
      <c r="BE18" s="33">
        <f>Table1311[[#This Row],[Salary]]-Table1311[[#This Row],[Deduction ]]</f>
        <v>4258.0645161290322</v>
      </c>
    </row>
    <row r="19" spans="7:60" x14ac:dyDescent="0.35">
      <c r="G19" s="7">
        <v>12</v>
      </c>
      <c r="H19" s="27" t="s">
        <v>47</v>
      </c>
      <c r="I19" s="7">
        <v>1012</v>
      </c>
      <c r="J19" s="15">
        <f t="shared" si="5"/>
        <v>4</v>
      </c>
      <c r="K19" s="7" t="s">
        <v>36</v>
      </c>
      <c r="L19" s="7" t="s">
        <v>36</v>
      </c>
      <c r="M19" s="7" t="s">
        <v>36</v>
      </c>
      <c r="N19" s="7" t="s">
        <v>36</v>
      </c>
      <c r="O19" s="7" t="s">
        <v>58</v>
      </c>
      <c r="P19" s="7" t="s">
        <v>36</v>
      </c>
      <c r="Q19" s="7" t="s">
        <v>56</v>
      </c>
      <c r="R19" s="7" t="s">
        <v>56</v>
      </c>
      <c r="S19" s="7" t="s">
        <v>56</v>
      </c>
      <c r="T19" s="7" t="s">
        <v>57</v>
      </c>
      <c r="U19" s="7" t="s">
        <v>36</v>
      </c>
      <c r="V19" s="7" t="s">
        <v>58</v>
      </c>
      <c r="W19" s="7" t="s">
        <v>36</v>
      </c>
      <c r="X19" s="7" t="s">
        <v>56</v>
      </c>
      <c r="Y19" s="7" t="s">
        <v>56</v>
      </c>
      <c r="Z19" s="7" t="s">
        <v>57</v>
      </c>
      <c r="AA19" s="7" t="s">
        <v>36</v>
      </c>
      <c r="AB19" s="7" t="s">
        <v>36</v>
      </c>
      <c r="AC19" s="7" t="s">
        <v>58</v>
      </c>
      <c r="AD19" s="7" t="s">
        <v>36</v>
      </c>
      <c r="AE19" s="7" t="s">
        <v>36</v>
      </c>
      <c r="AF19" s="7" t="s">
        <v>36</v>
      </c>
      <c r="AG19" s="7" t="s">
        <v>36</v>
      </c>
      <c r="AH19" s="7" t="s">
        <v>36</v>
      </c>
      <c r="AI19" s="7" t="s">
        <v>36</v>
      </c>
      <c r="AJ19" s="7" t="s">
        <v>58</v>
      </c>
      <c r="AK19" s="7" t="s">
        <v>36</v>
      </c>
      <c r="AL19" s="7" t="s">
        <v>36</v>
      </c>
      <c r="AM19" s="7" t="s">
        <v>56</v>
      </c>
      <c r="AN19" s="7" t="s">
        <v>56</v>
      </c>
      <c r="AO19" s="7" t="s">
        <v>57</v>
      </c>
      <c r="AR19" s="7">
        <v>12</v>
      </c>
      <c r="AS19" s="7" t="s">
        <v>47</v>
      </c>
      <c r="AT19" s="7" t="s">
        <v>71</v>
      </c>
      <c r="AU19" s="7">
        <v>1012</v>
      </c>
      <c r="AV19" s="30">
        <f t="shared" si="2"/>
        <v>17</v>
      </c>
      <c r="AW19" s="30">
        <f t="shared" si="7"/>
        <v>7</v>
      </c>
      <c r="AX19" s="30">
        <f t="shared" si="3"/>
        <v>3</v>
      </c>
      <c r="AY19" s="31">
        <f t="shared" si="4"/>
        <v>4</v>
      </c>
      <c r="AZ19" s="31">
        <f t="shared" si="6"/>
        <v>31</v>
      </c>
      <c r="BA19" s="32">
        <f>Table1311[[#This Row],[Days]]-Table1311[[#This Row],[Absent]]</f>
        <v>24</v>
      </c>
      <c r="BB19" s="33">
        <v>5600</v>
      </c>
      <c r="BC19" s="36">
        <f>Table1311[[#This Row],[Salary]]/Table1311[[#This Row],[Days]]</f>
        <v>180.64516129032259</v>
      </c>
      <c r="BD19" s="34">
        <f>Table1311[[#This Row],[Per Day Salary]]*Table1311[[#This Row],[Absent]]</f>
        <v>1264.516129032258</v>
      </c>
      <c r="BE19" s="33">
        <f>Table1311[[#This Row],[Salary]]-Table1311[[#This Row],[Deduction ]]</f>
        <v>4335.4838709677424</v>
      </c>
    </row>
    <row r="20" spans="7:60" x14ac:dyDescent="0.35">
      <c r="G20" s="7">
        <v>13</v>
      </c>
      <c r="H20" s="27" t="s">
        <v>48</v>
      </c>
      <c r="I20" s="7">
        <v>1013</v>
      </c>
      <c r="J20" s="15">
        <f t="shared" si="5"/>
        <v>4</v>
      </c>
      <c r="K20" s="7" t="s">
        <v>36</v>
      </c>
      <c r="L20" s="7" t="s">
        <v>36</v>
      </c>
      <c r="M20" s="7" t="s">
        <v>36</v>
      </c>
      <c r="N20" s="7" t="s">
        <v>36</v>
      </c>
      <c r="O20" s="7" t="s">
        <v>58</v>
      </c>
      <c r="P20" s="7" t="s">
        <v>36</v>
      </c>
      <c r="Q20" s="7" t="s">
        <v>56</v>
      </c>
      <c r="R20" s="7" t="s">
        <v>56</v>
      </c>
      <c r="S20" s="7" t="s">
        <v>56</v>
      </c>
      <c r="T20" s="7" t="s">
        <v>57</v>
      </c>
      <c r="U20" s="7" t="s">
        <v>36</v>
      </c>
      <c r="V20" s="7" t="s">
        <v>58</v>
      </c>
      <c r="W20" s="7" t="s">
        <v>36</v>
      </c>
      <c r="X20" s="7" t="s">
        <v>56</v>
      </c>
      <c r="Y20" s="7" t="s">
        <v>56</v>
      </c>
      <c r="Z20" s="7" t="s">
        <v>57</v>
      </c>
      <c r="AA20" s="7" t="s">
        <v>36</v>
      </c>
      <c r="AB20" s="7" t="s">
        <v>36</v>
      </c>
      <c r="AC20" s="7" t="s">
        <v>58</v>
      </c>
      <c r="AD20" s="7" t="s">
        <v>36</v>
      </c>
      <c r="AE20" s="7" t="s">
        <v>36</v>
      </c>
      <c r="AF20" s="7" t="s">
        <v>36</v>
      </c>
      <c r="AG20" s="7" t="s">
        <v>36</v>
      </c>
      <c r="AH20" s="7" t="s">
        <v>36</v>
      </c>
      <c r="AI20" s="7" t="s">
        <v>36</v>
      </c>
      <c r="AJ20" s="7" t="s">
        <v>58</v>
      </c>
      <c r="AK20" s="7" t="s">
        <v>36</v>
      </c>
      <c r="AL20" s="7" t="s">
        <v>36</v>
      </c>
      <c r="AM20" s="7" t="s">
        <v>56</v>
      </c>
      <c r="AN20" s="7" t="s">
        <v>56</v>
      </c>
      <c r="AO20" s="7" t="s">
        <v>57</v>
      </c>
      <c r="AR20" s="7">
        <v>13</v>
      </c>
      <c r="AS20" s="7" t="s">
        <v>48</v>
      </c>
      <c r="AT20" s="20" t="s">
        <v>71</v>
      </c>
      <c r="AU20" s="7">
        <v>1013</v>
      </c>
      <c r="AV20" s="30">
        <f t="shared" si="2"/>
        <v>17</v>
      </c>
      <c r="AW20" s="30">
        <f t="shared" si="7"/>
        <v>7</v>
      </c>
      <c r="AX20" s="30">
        <f t="shared" si="3"/>
        <v>3</v>
      </c>
      <c r="AY20" s="31">
        <f t="shared" si="4"/>
        <v>4</v>
      </c>
      <c r="AZ20" s="31">
        <f t="shared" si="6"/>
        <v>31</v>
      </c>
      <c r="BA20" s="32">
        <f>Table1311[[#This Row],[Days]]-Table1311[[#This Row],[Absent]]</f>
        <v>24</v>
      </c>
      <c r="BB20" s="33">
        <v>5700</v>
      </c>
      <c r="BC20" s="36">
        <f>Table1311[[#This Row],[Salary]]/Table1311[[#This Row],[Days]]</f>
        <v>183.87096774193549</v>
      </c>
      <c r="BD20" s="34">
        <f>Table1311[[#This Row],[Per Day Salary]]*Table1311[[#This Row],[Absent]]</f>
        <v>1287.0967741935483</v>
      </c>
      <c r="BE20" s="33">
        <f>Table1311[[#This Row],[Salary]]-Table1311[[#This Row],[Deduction ]]</f>
        <v>4412.9032258064517</v>
      </c>
    </row>
    <row r="21" spans="7:60" x14ac:dyDescent="0.35">
      <c r="G21" s="7">
        <v>14</v>
      </c>
      <c r="H21" s="27" t="s">
        <v>49</v>
      </c>
      <c r="I21" s="7">
        <v>1014</v>
      </c>
      <c r="J21" s="15">
        <f t="shared" si="5"/>
        <v>4</v>
      </c>
      <c r="K21" s="7" t="s">
        <v>36</v>
      </c>
      <c r="L21" s="7" t="s">
        <v>36</v>
      </c>
      <c r="M21" s="7" t="s">
        <v>36</v>
      </c>
      <c r="N21" s="7" t="s">
        <v>36</v>
      </c>
      <c r="O21" s="7" t="s">
        <v>58</v>
      </c>
      <c r="P21" s="7" t="s">
        <v>36</v>
      </c>
      <c r="Q21" s="7" t="s">
        <v>56</v>
      </c>
      <c r="R21" s="7" t="s">
        <v>56</v>
      </c>
      <c r="S21" s="7" t="s">
        <v>56</v>
      </c>
      <c r="T21" s="7" t="s">
        <v>57</v>
      </c>
      <c r="U21" s="7" t="s">
        <v>36</v>
      </c>
      <c r="V21" s="7" t="s">
        <v>58</v>
      </c>
      <c r="W21" s="7" t="s">
        <v>36</v>
      </c>
      <c r="X21" s="7" t="s">
        <v>56</v>
      </c>
      <c r="Y21" s="7" t="s">
        <v>56</v>
      </c>
      <c r="Z21" s="7" t="s">
        <v>57</v>
      </c>
      <c r="AA21" s="7" t="s">
        <v>36</v>
      </c>
      <c r="AB21" s="7" t="s">
        <v>36</v>
      </c>
      <c r="AC21" s="7" t="s">
        <v>58</v>
      </c>
      <c r="AD21" s="7" t="s">
        <v>36</v>
      </c>
      <c r="AE21" s="7" t="s">
        <v>36</v>
      </c>
      <c r="AF21" s="7" t="s">
        <v>36</v>
      </c>
      <c r="AG21" s="7" t="s">
        <v>36</v>
      </c>
      <c r="AH21" s="7" t="s">
        <v>36</v>
      </c>
      <c r="AI21" s="7" t="s">
        <v>36</v>
      </c>
      <c r="AJ21" s="7" t="s">
        <v>58</v>
      </c>
      <c r="AK21" s="7" t="s">
        <v>36</v>
      </c>
      <c r="AL21" s="7" t="s">
        <v>36</v>
      </c>
      <c r="AM21" s="7" t="s">
        <v>56</v>
      </c>
      <c r="AN21" s="7" t="s">
        <v>56</v>
      </c>
      <c r="AO21" s="7" t="s">
        <v>57</v>
      </c>
      <c r="AR21" s="7">
        <v>14</v>
      </c>
      <c r="AS21" s="7" t="s">
        <v>49</v>
      </c>
      <c r="AT21" s="7" t="s">
        <v>71</v>
      </c>
      <c r="AU21" s="7">
        <v>1014</v>
      </c>
      <c r="AV21" s="30">
        <f t="shared" si="2"/>
        <v>17</v>
      </c>
      <c r="AW21" s="30">
        <f t="shared" si="7"/>
        <v>7</v>
      </c>
      <c r="AX21" s="30">
        <f t="shared" si="3"/>
        <v>3</v>
      </c>
      <c r="AY21" s="31">
        <f t="shared" si="4"/>
        <v>4</v>
      </c>
      <c r="AZ21" s="31">
        <f t="shared" si="6"/>
        <v>31</v>
      </c>
      <c r="BA21" s="32">
        <f>Table1311[[#This Row],[Days]]-Table1311[[#This Row],[Absent]]</f>
        <v>24</v>
      </c>
      <c r="BB21" s="33">
        <v>5800</v>
      </c>
      <c r="BC21" s="36">
        <f>Table1311[[#This Row],[Salary]]/Table1311[[#This Row],[Days]]</f>
        <v>187.09677419354838</v>
      </c>
      <c r="BD21" s="34">
        <f>Table1311[[#This Row],[Per Day Salary]]*Table1311[[#This Row],[Absent]]</f>
        <v>1309.6774193548388</v>
      </c>
      <c r="BE21" s="33">
        <f>Table1311[[#This Row],[Salary]]-Table1311[[#This Row],[Deduction ]]</f>
        <v>4490.322580645161</v>
      </c>
    </row>
    <row r="22" spans="7:60" x14ac:dyDescent="0.35">
      <c r="G22" s="7">
        <v>15</v>
      </c>
      <c r="H22" s="27" t="s">
        <v>50</v>
      </c>
      <c r="I22" s="7">
        <v>1015</v>
      </c>
      <c r="J22" s="15">
        <f t="shared" si="5"/>
        <v>4</v>
      </c>
      <c r="K22" s="7" t="s">
        <v>36</v>
      </c>
      <c r="L22" s="7" t="s">
        <v>36</v>
      </c>
      <c r="M22" s="7" t="s">
        <v>36</v>
      </c>
      <c r="N22" s="7" t="s">
        <v>36</v>
      </c>
      <c r="O22" s="7" t="s">
        <v>58</v>
      </c>
      <c r="P22" s="7" t="s">
        <v>36</v>
      </c>
      <c r="Q22" s="7" t="s">
        <v>56</v>
      </c>
      <c r="R22" s="7" t="s">
        <v>56</v>
      </c>
      <c r="S22" s="7" t="s">
        <v>56</v>
      </c>
      <c r="T22" s="7" t="s">
        <v>57</v>
      </c>
      <c r="U22" s="7" t="s">
        <v>36</v>
      </c>
      <c r="V22" s="7" t="s">
        <v>58</v>
      </c>
      <c r="W22" s="7" t="s">
        <v>36</v>
      </c>
      <c r="X22" s="7" t="s">
        <v>56</v>
      </c>
      <c r="Y22" s="7" t="s">
        <v>56</v>
      </c>
      <c r="Z22" s="7" t="s">
        <v>57</v>
      </c>
      <c r="AA22" s="7" t="s">
        <v>36</v>
      </c>
      <c r="AB22" s="7" t="s">
        <v>36</v>
      </c>
      <c r="AC22" s="7" t="s">
        <v>58</v>
      </c>
      <c r="AD22" s="7" t="s">
        <v>36</v>
      </c>
      <c r="AE22" s="7" t="s">
        <v>36</v>
      </c>
      <c r="AF22" s="7" t="s">
        <v>36</v>
      </c>
      <c r="AG22" s="7" t="s">
        <v>36</v>
      </c>
      <c r="AH22" s="7" t="s">
        <v>36</v>
      </c>
      <c r="AI22" s="7" t="s">
        <v>36</v>
      </c>
      <c r="AJ22" s="7" t="s">
        <v>58</v>
      </c>
      <c r="AK22" s="7" t="s">
        <v>36</v>
      </c>
      <c r="AL22" s="7" t="s">
        <v>36</v>
      </c>
      <c r="AM22" s="7" t="s">
        <v>56</v>
      </c>
      <c r="AN22" s="7" t="s">
        <v>56</v>
      </c>
      <c r="AO22" s="7" t="s">
        <v>57</v>
      </c>
      <c r="AR22" s="7">
        <v>15</v>
      </c>
      <c r="AS22" s="7" t="s">
        <v>50</v>
      </c>
      <c r="AT22" s="20" t="s">
        <v>71</v>
      </c>
      <c r="AU22" s="7">
        <v>1015</v>
      </c>
      <c r="AV22" s="30">
        <f t="shared" si="2"/>
        <v>17</v>
      </c>
      <c r="AW22" s="30">
        <f t="shared" si="7"/>
        <v>7</v>
      </c>
      <c r="AX22" s="30">
        <f t="shared" si="3"/>
        <v>3</v>
      </c>
      <c r="AY22" s="31">
        <f t="shared" si="4"/>
        <v>4</v>
      </c>
      <c r="AZ22" s="31">
        <f t="shared" si="6"/>
        <v>31</v>
      </c>
      <c r="BA22" s="32">
        <f>Table1311[[#This Row],[Days]]-Table1311[[#This Row],[Absent]]</f>
        <v>24</v>
      </c>
      <c r="BB22" s="33">
        <v>5900</v>
      </c>
      <c r="BC22" s="36">
        <f>Table1311[[#This Row],[Salary]]/Table1311[[#This Row],[Days]]</f>
        <v>190.32258064516128</v>
      </c>
      <c r="BD22" s="34">
        <f>Table1311[[#This Row],[Per Day Salary]]*Table1311[[#This Row],[Absent]]</f>
        <v>1332.258064516129</v>
      </c>
      <c r="BE22" s="33">
        <f>Table1311[[#This Row],[Salary]]-Table1311[[#This Row],[Deduction ]]</f>
        <v>4567.7419354838712</v>
      </c>
    </row>
    <row r="23" spans="7:60" x14ac:dyDescent="0.35">
      <c r="G23" s="7">
        <v>16</v>
      </c>
      <c r="H23" s="27" t="s">
        <v>51</v>
      </c>
      <c r="I23" s="7">
        <v>1016</v>
      </c>
      <c r="J23" s="15">
        <f t="shared" si="5"/>
        <v>4</v>
      </c>
      <c r="K23" s="7" t="s">
        <v>36</v>
      </c>
      <c r="L23" s="7" t="s">
        <v>36</v>
      </c>
      <c r="M23" s="7" t="s">
        <v>36</v>
      </c>
      <c r="N23" s="7" t="s">
        <v>36</v>
      </c>
      <c r="O23" s="7" t="s">
        <v>58</v>
      </c>
      <c r="P23" s="7" t="s">
        <v>36</v>
      </c>
      <c r="Q23" s="7" t="s">
        <v>56</v>
      </c>
      <c r="R23" s="7" t="s">
        <v>56</v>
      </c>
      <c r="S23" s="7" t="s">
        <v>56</v>
      </c>
      <c r="T23" s="7" t="s">
        <v>57</v>
      </c>
      <c r="U23" s="7" t="s">
        <v>36</v>
      </c>
      <c r="V23" s="7" t="s">
        <v>58</v>
      </c>
      <c r="W23" s="7" t="s">
        <v>36</v>
      </c>
      <c r="X23" s="7" t="s">
        <v>56</v>
      </c>
      <c r="Y23" s="7" t="s">
        <v>56</v>
      </c>
      <c r="Z23" s="7" t="s">
        <v>57</v>
      </c>
      <c r="AA23" s="7" t="s">
        <v>36</v>
      </c>
      <c r="AB23" s="7" t="s">
        <v>36</v>
      </c>
      <c r="AC23" s="7" t="s">
        <v>58</v>
      </c>
      <c r="AD23" s="7" t="s">
        <v>36</v>
      </c>
      <c r="AE23" s="7" t="s">
        <v>36</v>
      </c>
      <c r="AF23" s="7" t="s">
        <v>36</v>
      </c>
      <c r="AG23" s="7" t="s">
        <v>36</v>
      </c>
      <c r="AH23" s="7" t="s">
        <v>36</v>
      </c>
      <c r="AI23" s="7" t="s">
        <v>36</v>
      </c>
      <c r="AJ23" s="7" t="s">
        <v>58</v>
      </c>
      <c r="AK23" s="7" t="s">
        <v>36</v>
      </c>
      <c r="AL23" s="7" t="s">
        <v>36</v>
      </c>
      <c r="AM23" s="7" t="s">
        <v>56</v>
      </c>
      <c r="AN23" s="7" t="s">
        <v>56</v>
      </c>
      <c r="AO23" s="7" t="s">
        <v>57</v>
      </c>
      <c r="AR23" s="7">
        <v>16</v>
      </c>
      <c r="AS23" s="7" t="s">
        <v>51</v>
      </c>
      <c r="AT23" s="7" t="s">
        <v>71</v>
      </c>
      <c r="AU23" s="7">
        <v>1016</v>
      </c>
      <c r="AV23" s="30">
        <f t="shared" si="2"/>
        <v>17</v>
      </c>
      <c r="AW23" s="30">
        <f t="shared" si="7"/>
        <v>7</v>
      </c>
      <c r="AX23" s="30">
        <f t="shared" si="3"/>
        <v>3</v>
      </c>
      <c r="AY23" s="31">
        <f t="shared" si="4"/>
        <v>4</v>
      </c>
      <c r="AZ23" s="31">
        <f t="shared" si="6"/>
        <v>31</v>
      </c>
      <c r="BA23" s="32">
        <f>Table1311[[#This Row],[Days]]-Table1311[[#This Row],[Absent]]</f>
        <v>24</v>
      </c>
      <c r="BB23" s="33">
        <v>6000</v>
      </c>
      <c r="BC23" s="36">
        <f>Table1311[[#This Row],[Salary]]/Table1311[[#This Row],[Days]]</f>
        <v>193.54838709677421</v>
      </c>
      <c r="BD23" s="34">
        <f>Table1311[[#This Row],[Per Day Salary]]*Table1311[[#This Row],[Absent]]</f>
        <v>1354.8387096774195</v>
      </c>
      <c r="BE23" s="33">
        <f>Table1311[[#This Row],[Salary]]-Table1311[[#This Row],[Deduction ]]</f>
        <v>4645.1612903225805</v>
      </c>
    </row>
    <row r="24" spans="7:60" x14ac:dyDescent="0.35">
      <c r="G24" s="7">
        <v>17</v>
      </c>
      <c r="H24" s="27" t="s">
        <v>52</v>
      </c>
      <c r="I24" s="7">
        <v>1017</v>
      </c>
      <c r="J24" s="15">
        <f t="shared" si="5"/>
        <v>4</v>
      </c>
      <c r="K24" s="7" t="s">
        <v>36</v>
      </c>
      <c r="L24" s="7" t="s">
        <v>36</v>
      </c>
      <c r="M24" s="7" t="s">
        <v>36</v>
      </c>
      <c r="N24" s="7" t="s">
        <v>36</v>
      </c>
      <c r="O24" s="7" t="s">
        <v>58</v>
      </c>
      <c r="P24" s="7" t="s">
        <v>36</v>
      </c>
      <c r="Q24" s="7" t="s">
        <v>56</v>
      </c>
      <c r="R24" s="7" t="s">
        <v>56</v>
      </c>
      <c r="S24" s="7" t="s">
        <v>56</v>
      </c>
      <c r="T24" s="7" t="s">
        <v>57</v>
      </c>
      <c r="U24" s="7" t="s">
        <v>36</v>
      </c>
      <c r="V24" s="7" t="s">
        <v>58</v>
      </c>
      <c r="W24" s="7" t="s">
        <v>36</v>
      </c>
      <c r="X24" s="7" t="s">
        <v>56</v>
      </c>
      <c r="Y24" s="7" t="s">
        <v>56</v>
      </c>
      <c r="Z24" s="7" t="s">
        <v>57</v>
      </c>
      <c r="AA24" s="7" t="s">
        <v>36</v>
      </c>
      <c r="AB24" s="7" t="s">
        <v>36</v>
      </c>
      <c r="AC24" s="7" t="s">
        <v>58</v>
      </c>
      <c r="AD24" s="7" t="s">
        <v>36</v>
      </c>
      <c r="AE24" s="7" t="s">
        <v>36</v>
      </c>
      <c r="AF24" s="7" t="s">
        <v>36</v>
      </c>
      <c r="AG24" s="7" t="s">
        <v>36</v>
      </c>
      <c r="AH24" s="7" t="s">
        <v>36</v>
      </c>
      <c r="AI24" s="7" t="s">
        <v>36</v>
      </c>
      <c r="AJ24" s="7" t="s">
        <v>58</v>
      </c>
      <c r="AK24" s="7" t="s">
        <v>36</v>
      </c>
      <c r="AL24" s="7" t="s">
        <v>36</v>
      </c>
      <c r="AM24" s="7" t="s">
        <v>56</v>
      </c>
      <c r="AN24" s="7" t="s">
        <v>56</v>
      </c>
      <c r="AO24" s="7" t="s">
        <v>57</v>
      </c>
      <c r="AR24" s="7">
        <v>17</v>
      </c>
      <c r="AS24" s="7" t="s">
        <v>52</v>
      </c>
      <c r="AT24" s="20" t="s">
        <v>71</v>
      </c>
      <c r="AU24" s="7">
        <v>1017</v>
      </c>
      <c r="AV24" s="30">
        <f t="shared" si="2"/>
        <v>17</v>
      </c>
      <c r="AW24" s="30">
        <f t="shared" si="7"/>
        <v>7</v>
      </c>
      <c r="AX24" s="30">
        <f t="shared" si="3"/>
        <v>3</v>
      </c>
      <c r="AY24" s="31">
        <f t="shared" si="4"/>
        <v>4</v>
      </c>
      <c r="AZ24" s="31">
        <f t="shared" si="6"/>
        <v>31</v>
      </c>
      <c r="BA24" s="1">
        <f>Table1311[[#This Row],[Days]]-Table1311[[#This Row],[Absent]]</f>
        <v>24</v>
      </c>
      <c r="BB24" s="33">
        <v>6100</v>
      </c>
      <c r="BC24" s="36">
        <f>Table1311[[#This Row],[Salary]]/Table1311[[#This Row],[Days]]</f>
        <v>196.7741935483871</v>
      </c>
      <c r="BD24" s="34">
        <f>Table1311[[#This Row],[Per Day Salary]]*Table1311[[#This Row],[Absent]]</f>
        <v>1377.4193548387098</v>
      </c>
      <c r="BE24" s="33">
        <f>Table1311[[#This Row],[Salary]]-Table1311[[#This Row],[Deduction ]]</f>
        <v>4722.5806451612898</v>
      </c>
    </row>
    <row r="25" spans="7:60" x14ac:dyDescent="0.35">
      <c r="G25" s="7">
        <v>18</v>
      </c>
      <c r="H25" s="27" t="s">
        <v>53</v>
      </c>
      <c r="I25" s="7">
        <v>1018</v>
      </c>
      <c r="J25" s="15">
        <f t="shared" si="5"/>
        <v>4</v>
      </c>
      <c r="K25" s="7" t="s">
        <v>36</v>
      </c>
      <c r="L25" s="7" t="s">
        <v>36</v>
      </c>
      <c r="M25" s="7" t="s">
        <v>36</v>
      </c>
      <c r="N25" s="7" t="s">
        <v>36</v>
      </c>
      <c r="O25" s="7" t="s">
        <v>58</v>
      </c>
      <c r="P25" s="7" t="s">
        <v>36</v>
      </c>
      <c r="Q25" s="7" t="s">
        <v>56</v>
      </c>
      <c r="R25" s="7" t="s">
        <v>56</v>
      </c>
      <c r="S25" s="7" t="s">
        <v>56</v>
      </c>
      <c r="T25" s="7" t="s">
        <v>57</v>
      </c>
      <c r="U25" s="7" t="s">
        <v>36</v>
      </c>
      <c r="V25" s="7" t="s">
        <v>58</v>
      </c>
      <c r="W25" s="7" t="s">
        <v>36</v>
      </c>
      <c r="X25" s="7" t="s">
        <v>56</v>
      </c>
      <c r="Y25" s="7" t="s">
        <v>56</v>
      </c>
      <c r="Z25" s="7" t="s">
        <v>57</v>
      </c>
      <c r="AA25" s="7" t="s">
        <v>36</v>
      </c>
      <c r="AB25" s="7" t="s">
        <v>36</v>
      </c>
      <c r="AC25" s="7" t="s">
        <v>58</v>
      </c>
      <c r="AD25" s="7" t="s">
        <v>36</v>
      </c>
      <c r="AE25" s="7" t="s">
        <v>36</v>
      </c>
      <c r="AF25" s="7" t="s">
        <v>36</v>
      </c>
      <c r="AG25" s="7" t="s">
        <v>36</v>
      </c>
      <c r="AH25" s="7" t="s">
        <v>36</v>
      </c>
      <c r="AI25" s="7" t="s">
        <v>36</v>
      </c>
      <c r="AJ25" s="7" t="s">
        <v>58</v>
      </c>
      <c r="AK25" s="7" t="s">
        <v>36</v>
      </c>
      <c r="AL25" s="7" t="s">
        <v>36</v>
      </c>
      <c r="AM25" s="7" t="s">
        <v>56</v>
      </c>
      <c r="AN25" s="7" t="s">
        <v>56</v>
      </c>
      <c r="AO25" s="7" t="s">
        <v>57</v>
      </c>
      <c r="AR25" s="7">
        <v>18</v>
      </c>
      <c r="AS25" s="7" t="s">
        <v>53</v>
      </c>
      <c r="AT25" s="7" t="s">
        <v>71</v>
      </c>
      <c r="AU25" s="7">
        <v>1018</v>
      </c>
      <c r="AV25" s="30">
        <f t="shared" si="2"/>
        <v>17</v>
      </c>
      <c r="AW25" s="30">
        <f t="shared" si="7"/>
        <v>7</v>
      </c>
      <c r="AX25" s="30">
        <f t="shared" si="3"/>
        <v>3</v>
      </c>
      <c r="AY25" s="31">
        <f t="shared" si="4"/>
        <v>4</v>
      </c>
      <c r="AZ25" s="31">
        <f t="shared" si="6"/>
        <v>31</v>
      </c>
      <c r="BA25" s="32">
        <f>Table1311[[#This Row],[Days]]-Table1311[[#This Row],[Absent]]</f>
        <v>24</v>
      </c>
      <c r="BB25" s="33">
        <v>6200</v>
      </c>
      <c r="BC25" s="36">
        <f>Table1311[[#This Row],[Salary]]/Table1311[[#This Row],[Days]]</f>
        <v>200</v>
      </c>
      <c r="BD25" s="34">
        <f>Table1311[[#This Row],[Per Day Salary]]*Table1311[[#This Row],[Absent]]</f>
        <v>1400</v>
      </c>
      <c r="BE25" s="33">
        <f>Table1311[[#This Row],[Salary]]-Table1311[[#This Row],[Deduction ]]</f>
        <v>4800</v>
      </c>
    </row>
    <row r="26" spans="7:60" x14ac:dyDescent="0.35">
      <c r="G26" s="7">
        <v>19</v>
      </c>
      <c r="H26" s="27" t="s">
        <v>54</v>
      </c>
      <c r="I26" s="7">
        <v>1019</v>
      </c>
      <c r="J26" s="15">
        <f t="shared" si="5"/>
        <v>4</v>
      </c>
      <c r="K26" s="7" t="s">
        <v>36</v>
      </c>
      <c r="L26" s="7" t="s">
        <v>36</v>
      </c>
      <c r="M26" s="7" t="s">
        <v>36</v>
      </c>
      <c r="N26" s="7" t="s">
        <v>36</v>
      </c>
      <c r="O26" s="7" t="s">
        <v>58</v>
      </c>
      <c r="P26" s="7" t="s">
        <v>36</v>
      </c>
      <c r="Q26" s="7" t="s">
        <v>56</v>
      </c>
      <c r="R26" s="7" t="s">
        <v>56</v>
      </c>
      <c r="S26" s="7" t="s">
        <v>56</v>
      </c>
      <c r="T26" s="7" t="s">
        <v>57</v>
      </c>
      <c r="U26" s="7" t="s">
        <v>36</v>
      </c>
      <c r="V26" s="7" t="s">
        <v>58</v>
      </c>
      <c r="W26" s="7" t="s">
        <v>36</v>
      </c>
      <c r="X26" s="7" t="s">
        <v>56</v>
      </c>
      <c r="Y26" s="7" t="s">
        <v>56</v>
      </c>
      <c r="Z26" s="7" t="s">
        <v>57</v>
      </c>
      <c r="AA26" s="7" t="s">
        <v>36</v>
      </c>
      <c r="AB26" s="7" t="s">
        <v>36</v>
      </c>
      <c r="AC26" s="7" t="s">
        <v>58</v>
      </c>
      <c r="AD26" s="7" t="s">
        <v>36</v>
      </c>
      <c r="AE26" s="7" t="s">
        <v>36</v>
      </c>
      <c r="AF26" s="7" t="s">
        <v>36</v>
      </c>
      <c r="AG26" s="7" t="s">
        <v>36</v>
      </c>
      <c r="AH26" s="7" t="s">
        <v>36</v>
      </c>
      <c r="AI26" s="7" t="s">
        <v>36</v>
      </c>
      <c r="AJ26" s="7" t="s">
        <v>58</v>
      </c>
      <c r="AK26" s="7" t="s">
        <v>36</v>
      </c>
      <c r="AL26" s="7" t="s">
        <v>36</v>
      </c>
      <c r="AM26" s="7" t="s">
        <v>56</v>
      </c>
      <c r="AN26" s="7" t="s">
        <v>56</v>
      </c>
      <c r="AO26" s="7" t="s">
        <v>57</v>
      </c>
      <c r="AR26" s="7">
        <v>19</v>
      </c>
      <c r="AS26" s="7" t="s">
        <v>54</v>
      </c>
      <c r="AT26" s="20" t="s">
        <v>71</v>
      </c>
      <c r="AU26" s="7">
        <v>1019</v>
      </c>
      <c r="AV26" s="30">
        <f t="shared" si="2"/>
        <v>17</v>
      </c>
      <c r="AW26" s="30">
        <f t="shared" si="7"/>
        <v>7</v>
      </c>
      <c r="AX26" s="30">
        <f t="shared" si="3"/>
        <v>3</v>
      </c>
      <c r="AY26" s="31">
        <f t="shared" si="4"/>
        <v>4</v>
      </c>
      <c r="AZ26" s="31">
        <f t="shared" si="6"/>
        <v>31</v>
      </c>
      <c r="BA26" s="1">
        <f>Table1311[[#This Row],[Days]]-Table1311[[#This Row],[Absent]]</f>
        <v>24</v>
      </c>
      <c r="BB26" s="33">
        <v>6300</v>
      </c>
      <c r="BC26" s="36">
        <f>Table1311[[#This Row],[Salary]]/Table1311[[#This Row],[Days]]</f>
        <v>203.2258064516129</v>
      </c>
      <c r="BD26" s="34">
        <f>Table1311[[#This Row],[Per Day Salary]]*Table1311[[#This Row],[Absent]]</f>
        <v>1422.5806451612902</v>
      </c>
      <c r="BE26" s="33">
        <f>Table1311[[#This Row],[Salary]]-Table1311[[#This Row],[Deduction ]]</f>
        <v>4877.4193548387102</v>
      </c>
    </row>
    <row r="27" spans="7:60" x14ac:dyDescent="0.35">
      <c r="G27" s="7">
        <v>20</v>
      </c>
      <c r="H27" s="27" t="s">
        <v>55</v>
      </c>
      <c r="I27" s="7">
        <v>1020</v>
      </c>
      <c r="J27" s="15">
        <f t="shared" si="5"/>
        <v>4</v>
      </c>
      <c r="K27" s="7" t="s">
        <v>36</v>
      </c>
      <c r="L27" s="7" t="s">
        <v>36</v>
      </c>
      <c r="M27" s="7" t="s">
        <v>36</v>
      </c>
      <c r="N27" s="7" t="s">
        <v>36</v>
      </c>
      <c r="O27" s="7" t="s">
        <v>58</v>
      </c>
      <c r="P27" s="7" t="s">
        <v>36</v>
      </c>
      <c r="Q27" s="7" t="s">
        <v>56</v>
      </c>
      <c r="R27" s="7" t="s">
        <v>56</v>
      </c>
      <c r="S27" s="7" t="s">
        <v>56</v>
      </c>
      <c r="T27" s="7" t="s">
        <v>57</v>
      </c>
      <c r="U27" s="7" t="s">
        <v>36</v>
      </c>
      <c r="V27" s="7" t="s">
        <v>58</v>
      </c>
      <c r="W27" s="7" t="s">
        <v>36</v>
      </c>
      <c r="X27" s="7" t="s">
        <v>56</v>
      </c>
      <c r="Y27" s="7" t="s">
        <v>56</v>
      </c>
      <c r="Z27" s="7" t="s">
        <v>57</v>
      </c>
      <c r="AA27" s="7" t="s">
        <v>36</v>
      </c>
      <c r="AB27" s="7" t="s">
        <v>36</v>
      </c>
      <c r="AC27" s="7" t="s">
        <v>58</v>
      </c>
      <c r="AD27" s="7" t="s">
        <v>36</v>
      </c>
      <c r="AE27" s="7" t="s">
        <v>36</v>
      </c>
      <c r="AF27" s="7" t="s">
        <v>36</v>
      </c>
      <c r="AG27" s="7" t="s">
        <v>36</v>
      </c>
      <c r="AH27" s="7" t="s">
        <v>36</v>
      </c>
      <c r="AI27" s="7" t="s">
        <v>36</v>
      </c>
      <c r="AJ27" s="7" t="s">
        <v>58</v>
      </c>
      <c r="AK27" s="7" t="s">
        <v>36</v>
      </c>
      <c r="AL27" s="7" t="s">
        <v>36</v>
      </c>
      <c r="AM27" s="7" t="s">
        <v>56</v>
      </c>
      <c r="AN27" s="7" t="s">
        <v>56</v>
      </c>
      <c r="AO27" s="7" t="s">
        <v>57</v>
      </c>
      <c r="AR27" s="7">
        <v>20</v>
      </c>
      <c r="AS27" s="7" t="s">
        <v>55</v>
      </c>
      <c r="AT27" s="7" t="s">
        <v>71</v>
      </c>
      <c r="AU27" s="7">
        <v>1020</v>
      </c>
      <c r="AV27" s="30">
        <f t="shared" si="2"/>
        <v>17</v>
      </c>
      <c r="AW27" s="30">
        <f t="shared" si="7"/>
        <v>7</v>
      </c>
      <c r="AX27" s="30">
        <f t="shared" si="3"/>
        <v>3</v>
      </c>
      <c r="AY27" s="31">
        <f t="shared" si="4"/>
        <v>4</v>
      </c>
      <c r="AZ27" s="31">
        <f t="shared" si="6"/>
        <v>31</v>
      </c>
      <c r="BA27" s="32">
        <f>Table1311[[#This Row],[Days]]-Table1311[[#This Row],[Absent]]</f>
        <v>24</v>
      </c>
      <c r="BB27" s="33">
        <v>6400</v>
      </c>
      <c r="BC27" s="36">
        <f>Table1311[[#This Row],[Salary]]/Table1311[[#This Row],[Days]]</f>
        <v>206.45161290322579</v>
      </c>
      <c r="BD27" s="34">
        <f>Table1311[[#This Row],[Per Day Salary]]*Table1311[[#This Row],[Absent]]</f>
        <v>1445.1612903225805</v>
      </c>
      <c r="BE27" s="33">
        <f>Table1311[[#This Row],[Salary]]-Table1311[[#This Row],[Deduction ]]</f>
        <v>4954.8387096774195</v>
      </c>
    </row>
    <row r="28" spans="7:60" x14ac:dyDescent="0.35">
      <c r="L28" s="6"/>
      <c r="S28" s="6"/>
    </row>
  </sheetData>
  <mergeCells count="1">
    <mergeCell ref="G6:I6"/>
  </mergeCells>
  <phoneticPr fontId="2" type="noConversion"/>
  <conditionalFormatting sqref="F5">
    <cfRule type="containsText" dxfId="19" priority="4" operator="containsText" text="P">
      <formula>NOT(ISERROR(SEARCH("P",F5)))</formula>
    </cfRule>
  </conditionalFormatting>
  <conditionalFormatting sqref="K8:AO27">
    <cfRule type="containsText" dxfId="18" priority="1" operator="containsText" text="L">
      <formula>NOT(ISERROR(SEARCH("L",K8)))</formula>
    </cfRule>
    <cfRule type="containsText" dxfId="17" priority="2" operator="containsText" text="A">
      <formula>NOT(ISERROR(SEARCH("A",K8)))</formula>
    </cfRule>
    <cfRule type="containsText" dxfId="16" priority="3" operator="containsText" text="P">
      <formula>NOT(ISERROR(SEARCH("P",K8)))</formula>
    </cfRule>
    <cfRule type="containsText" dxfId="15" priority="5" operator="containsText" text="WO">
      <formula>NOT(ISERROR(SEARCH("WO",K8)))</formula>
    </cfRule>
  </conditionalFormatting>
  <dataValidations count="2">
    <dataValidation type="list" allowBlank="1" showInputMessage="1" showErrorMessage="1" sqref="K8:N27 AD8:AI27 AK8:AO27 P8:T27 W8:AB27" xr:uid="{CE3CCECB-B919-4698-818E-E41B1DC6E197}">
      <formula1>"P,L,A"</formula1>
    </dataValidation>
    <dataValidation type="list" allowBlank="1" showInputMessage="1" showErrorMessage="1" sqref="O8:O27 V8:V27 AC8:AC27 AJ8:AJ27" xr:uid="{F4B1BE0D-98E3-4DEF-8E48-AB327FA31B53}">
      <formula1>"P,L,A,WO"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ED5916F-8B80-4EDC-9484-950CEBABB6C7}">
          <x14:formula1>
            <xm:f>Sheet1!$J$2:$J$13</xm:f>
          </x14:formula1>
          <xm:sqref>G5</xm:sqref>
        </x14:dataValidation>
        <x14:dataValidation type="list" allowBlank="1" showInputMessage="1" showErrorMessage="1" xr:uid="{B84DCF9E-F090-445D-A95E-5CF68EE0E539}">
          <x14:formula1>
            <xm:f>Sheet1!$E$2:$E$13</xm:f>
          </x14:formula1>
          <xm:sqref>I5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E0C5-4759-4109-8E1B-E6E767026F3D}">
  <sheetPr codeName="Sheet11"/>
  <dimension ref="F4:BN28"/>
  <sheetViews>
    <sheetView showGridLines="0" zoomScale="60" zoomScaleNormal="60" workbookViewId="0">
      <selection activeCell="H13" sqref="H13"/>
    </sheetView>
  </sheetViews>
  <sheetFormatPr defaultRowHeight="14.5" x14ac:dyDescent="0.35"/>
  <cols>
    <col min="7" max="7" width="12.54296875" bestFit="1" customWidth="1"/>
    <col min="8" max="8" width="11.7265625" bestFit="1" customWidth="1"/>
    <col min="9" max="9" width="12.26953125" customWidth="1"/>
    <col min="10" max="10" width="8.453125" bestFit="1" customWidth="1"/>
    <col min="11" max="11" width="3.453125" bestFit="1" customWidth="1"/>
    <col min="12" max="12" width="3.7265625" bestFit="1" customWidth="1"/>
    <col min="13" max="13" width="5.54296875" customWidth="1"/>
    <col min="14" max="14" width="3.7265625" bestFit="1" customWidth="1"/>
    <col min="15" max="15" width="4.453125" bestFit="1" customWidth="1"/>
    <col min="16" max="16" width="3.7265625" bestFit="1" customWidth="1"/>
    <col min="17" max="17" width="2.81640625" bestFit="1" customWidth="1"/>
    <col min="18" max="18" width="3.453125" bestFit="1" customWidth="1"/>
    <col min="19" max="19" width="3.7265625" bestFit="1" customWidth="1"/>
    <col min="20" max="20" width="4.453125" bestFit="1" customWidth="1"/>
    <col min="21" max="21" width="3.7265625" bestFit="1" customWidth="1"/>
    <col min="22" max="22" width="4.453125" bestFit="1" customWidth="1"/>
    <col min="23" max="23" width="3.7265625" bestFit="1" customWidth="1"/>
    <col min="24" max="24" width="3.90625" customWidth="1"/>
    <col min="25" max="25" width="3.453125" bestFit="1" customWidth="1"/>
    <col min="26" max="26" width="3.7265625" bestFit="1" customWidth="1"/>
    <col min="27" max="27" width="4.453125" bestFit="1" customWidth="1"/>
    <col min="28" max="28" width="3.7265625" bestFit="1" customWidth="1"/>
    <col min="29" max="29" width="4.453125" bestFit="1" customWidth="1"/>
    <col min="30" max="30" width="3.7265625" bestFit="1" customWidth="1"/>
    <col min="31" max="31" width="2.81640625" bestFit="1" customWidth="1"/>
    <col min="32" max="32" width="3.453125" bestFit="1" customWidth="1"/>
    <col min="33" max="33" width="3.7265625" bestFit="1" customWidth="1"/>
    <col min="34" max="34" width="4.453125" bestFit="1" customWidth="1"/>
    <col min="35" max="35" width="3.7265625" bestFit="1" customWidth="1"/>
    <col min="36" max="36" width="4.453125" bestFit="1" customWidth="1"/>
    <col min="37" max="37" width="3.7265625" bestFit="1" customWidth="1"/>
    <col min="38" max="38" width="3.453125" customWidth="1"/>
    <col min="39" max="39" width="3.453125" bestFit="1" customWidth="1"/>
    <col min="40" max="40" width="4.1796875" bestFit="1" customWidth="1"/>
    <col min="41" max="41" width="5.08984375" customWidth="1"/>
    <col min="45" max="46" width="10.453125" customWidth="1"/>
    <col min="47" max="47" width="12.81640625" customWidth="1"/>
    <col min="48" max="48" width="9.453125" customWidth="1"/>
    <col min="49" max="49" width="8.90625" customWidth="1"/>
    <col min="51" max="51" width="10.453125" customWidth="1"/>
    <col min="53" max="53" width="10.7265625" customWidth="1"/>
    <col min="54" max="54" width="10.7265625" bestFit="1" customWidth="1"/>
    <col min="55" max="55" width="14.36328125" customWidth="1"/>
    <col min="56" max="56" width="12" customWidth="1"/>
    <col min="57" max="57" width="12.54296875" customWidth="1"/>
  </cols>
  <sheetData>
    <row r="4" spans="6:66" x14ac:dyDescent="0.35">
      <c r="F4" s="21"/>
      <c r="G4" s="21"/>
      <c r="H4" s="21"/>
      <c r="I4" s="22">
        <f>G5</f>
        <v>45901</v>
      </c>
      <c r="J4" s="21"/>
      <c r="K4" s="21"/>
      <c r="L4" s="21"/>
    </row>
    <row r="5" spans="6:66" ht="15" thickBot="1" x14ac:dyDescent="0.4">
      <c r="F5" s="21" t="s">
        <v>23</v>
      </c>
      <c r="G5" s="26">
        <v>45901</v>
      </c>
      <c r="H5" s="24">
        <f>G5</f>
        <v>45901</v>
      </c>
      <c r="I5" s="24"/>
      <c r="J5" s="21"/>
      <c r="K5" s="21"/>
      <c r="L5" s="21" t="s">
        <v>25</v>
      </c>
      <c r="M5" s="23">
        <f>EOMONTH(G5,0)</f>
        <v>45930</v>
      </c>
      <c r="O5" s="3"/>
    </row>
    <row r="6" spans="6:66" ht="16.5" thickBot="1" x14ac:dyDescent="0.45">
      <c r="G6" s="50" t="s">
        <v>27</v>
      </c>
      <c r="H6" s="51"/>
      <c r="I6" s="52"/>
      <c r="J6" s="11" t="s">
        <v>26</v>
      </c>
      <c r="K6" s="12" t="str">
        <f>TEXT(K7,"ddd")</f>
        <v>Mon</v>
      </c>
      <c r="L6" s="12" t="str">
        <f t="shared" ref="L6:AN6" si="0">TEXT(L7,"ddd")</f>
        <v>Tue</v>
      </c>
      <c r="M6" s="12" t="str">
        <f t="shared" si="0"/>
        <v>Wed</v>
      </c>
      <c r="N6" s="12" t="str">
        <f t="shared" si="0"/>
        <v>Thu</v>
      </c>
      <c r="O6" s="12" t="str">
        <f t="shared" si="0"/>
        <v>Fri</v>
      </c>
      <c r="P6" s="12" t="str">
        <f t="shared" si="0"/>
        <v>Sat</v>
      </c>
      <c r="Q6" s="12" t="str">
        <f t="shared" si="0"/>
        <v>Sun</v>
      </c>
      <c r="R6" s="12" t="str">
        <f t="shared" si="0"/>
        <v>Mon</v>
      </c>
      <c r="S6" s="12" t="str">
        <f t="shared" si="0"/>
        <v>Tue</v>
      </c>
      <c r="T6" s="12" t="str">
        <f t="shared" si="0"/>
        <v>Wed</v>
      </c>
      <c r="U6" s="12" t="str">
        <f t="shared" si="0"/>
        <v>Thu</v>
      </c>
      <c r="V6" s="12" t="str">
        <f t="shared" si="0"/>
        <v>Fri</v>
      </c>
      <c r="W6" s="12" t="str">
        <f t="shared" si="0"/>
        <v>Sat</v>
      </c>
      <c r="X6" s="12" t="str">
        <f t="shared" si="0"/>
        <v>Sun</v>
      </c>
      <c r="Y6" s="12" t="str">
        <f t="shared" si="0"/>
        <v>Mon</v>
      </c>
      <c r="Z6" s="12" t="str">
        <f t="shared" si="0"/>
        <v>Tue</v>
      </c>
      <c r="AA6" s="12" t="str">
        <f t="shared" si="0"/>
        <v>Wed</v>
      </c>
      <c r="AB6" s="12" t="str">
        <f t="shared" si="0"/>
        <v>Thu</v>
      </c>
      <c r="AC6" s="12" t="str">
        <f t="shared" si="0"/>
        <v>Fri</v>
      </c>
      <c r="AD6" s="12" t="str">
        <f t="shared" si="0"/>
        <v>Sat</v>
      </c>
      <c r="AE6" s="12" t="str">
        <f t="shared" si="0"/>
        <v>Sun</v>
      </c>
      <c r="AF6" s="12" t="str">
        <f t="shared" si="0"/>
        <v>Mon</v>
      </c>
      <c r="AG6" s="12" t="str">
        <f t="shared" si="0"/>
        <v>Tue</v>
      </c>
      <c r="AH6" s="12" t="str">
        <f t="shared" si="0"/>
        <v>Wed</v>
      </c>
      <c r="AI6" s="12" t="str">
        <f t="shared" si="0"/>
        <v>Thu</v>
      </c>
      <c r="AJ6" s="12" t="str">
        <f t="shared" si="0"/>
        <v>Fri</v>
      </c>
      <c r="AK6" s="12" t="str">
        <f t="shared" si="0"/>
        <v>Sat</v>
      </c>
      <c r="AL6" s="12" t="str">
        <f t="shared" si="0"/>
        <v>Sun</v>
      </c>
      <c r="AM6" s="13" t="str">
        <f t="shared" si="0"/>
        <v>Mon</v>
      </c>
      <c r="AN6" s="13" t="str">
        <f t="shared" si="0"/>
        <v>Tue</v>
      </c>
      <c r="AO6" s="14" t="str">
        <f>TEXT(AO7,"ddd")</f>
        <v/>
      </c>
    </row>
    <row r="7" spans="6:66" ht="14.25" customHeight="1" x14ac:dyDescent="0.35">
      <c r="G7" s="25" t="s">
        <v>0</v>
      </c>
      <c r="H7" s="25" t="s">
        <v>1</v>
      </c>
      <c r="I7" s="25" t="s">
        <v>2</v>
      </c>
      <c r="J7" s="8" t="s">
        <v>24</v>
      </c>
      <c r="K7" s="9">
        <f>G5</f>
        <v>45901</v>
      </c>
      <c r="L7" s="9">
        <f>IF(K7&lt;$M$5,1+K7,"")</f>
        <v>45902</v>
      </c>
      <c r="M7" s="9">
        <f t="shared" ref="M7:AL7" si="1">IF(L7&lt;$M$5,1+L7,"")</f>
        <v>45903</v>
      </c>
      <c r="N7" s="9">
        <f t="shared" si="1"/>
        <v>45904</v>
      </c>
      <c r="O7" s="9">
        <f t="shared" si="1"/>
        <v>45905</v>
      </c>
      <c r="P7" s="9">
        <f t="shared" si="1"/>
        <v>45906</v>
      </c>
      <c r="Q7" s="9">
        <f t="shared" si="1"/>
        <v>45907</v>
      </c>
      <c r="R7" s="9">
        <f t="shared" si="1"/>
        <v>45908</v>
      </c>
      <c r="S7" s="9">
        <f t="shared" si="1"/>
        <v>45909</v>
      </c>
      <c r="T7" s="9">
        <f t="shared" si="1"/>
        <v>45910</v>
      </c>
      <c r="U7" s="9">
        <f t="shared" si="1"/>
        <v>45911</v>
      </c>
      <c r="V7" s="9">
        <f t="shared" si="1"/>
        <v>45912</v>
      </c>
      <c r="W7" s="9">
        <f t="shared" si="1"/>
        <v>45913</v>
      </c>
      <c r="X7" s="9">
        <f t="shared" si="1"/>
        <v>45914</v>
      </c>
      <c r="Y7" s="9">
        <f t="shared" si="1"/>
        <v>45915</v>
      </c>
      <c r="Z7" s="9">
        <f t="shared" si="1"/>
        <v>45916</v>
      </c>
      <c r="AA7" s="9">
        <f>IF(Z7&lt;$M$5,1+Z7,"")</f>
        <v>45917</v>
      </c>
      <c r="AB7" s="9">
        <f t="shared" si="1"/>
        <v>45918</v>
      </c>
      <c r="AC7" s="9">
        <f t="shared" si="1"/>
        <v>45919</v>
      </c>
      <c r="AD7" s="9">
        <f t="shared" si="1"/>
        <v>45920</v>
      </c>
      <c r="AE7" s="9">
        <f t="shared" si="1"/>
        <v>45921</v>
      </c>
      <c r="AF7" s="9">
        <f t="shared" si="1"/>
        <v>45922</v>
      </c>
      <c r="AG7" s="9">
        <f t="shared" si="1"/>
        <v>45923</v>
      </c>
      <c r="AH7" s="9">
        <f t="shared" si="1"/>
        <v>45924</v>
      </c>
      <c r="AI7" s="9">
        <f t="shared" si="1"/>
        <v>45925</v>
      </c>
      <c r="AJ7" s="9">
        <f t="shared" si="1"/>
        <v>45926</v>
      </c>
      <c r="AK7" s="9">
        <f t="shared" si="1"/>
        <v>45927</v>
      </c>
      <c r="AL7" s="9">
        <f t="shared" si="1"/>
        <v>45928</v>
      </c>
      <c r="AM7" s="9">
        <f>IF(AL7&lt;$M$5,1+AL7,"")</f>
        <v>45929</v>
      </c>
      <c r="AN7" s="9">
        <f>IF(AM7&lt;$M$5,1+AM7,"")</f>
        <v>45930</v>
      </c>
      <c r="AO7" s="10" t="str">
        <f>IF(AN7&lt;$M$5,1+AN7,"")</f>
        <v/>
      </c>
      <c r="AP7" s="5"/>
      <c r="AQ7" s="5"/>
      <c r="AR7" s="18" t="s">
        <v>0</v>
      </c>
      <c r="AS7" s="18" t="s">
        <v>1</v>
      </c>
      <c r="AT7" s="18" t="s">
        <v>72</v>
      </c>
      <c r="AU7" s="18" t="s">
        <v>2</v>
      </c>
      <c r="AV7" s="17" t="s">
        <v>28</v>
      </c>
      <c r="AW7" s="17" t="s">
        <v>29</v>
      </c>
      <c r="AX7" s="17" t="s">
        <v>30</v>
      </c>
      <c r="AY7" s="17" t="s">
        <v>24</v>
      </c>
      <c r="AZ7" s="17" t="s">
        <v>26</v>
      </c>
      <c r="BA7" s="17" t="s">
        <v>31</v>
      </c>
      <c r="BB7" s="17" t="s">
        <v>32</v>
      </c>
      <c r="BC7" s="17" t="s">
        <v>33</v>
      </c>
      <c r="BD7" s="17" t="s">
        <v>34</v>
      </c>
      <c r="BE7" s="17" t="s">
        <v>35</v>
      </c>
      <c r="BF7" s="16"/>
      <c r="BG7" s="5"/>
      <c r="BH7" s="5"/>
      <c r="BI7" s="5"/>
      <c r="BJ7" s="5"/>
      <c r="BK7" s="5"/>
      <c r="BL7" s="5"/>
      <c r="BM7" s="5"/>
      <c r="BN7" s="5"/>
    </row>
    <row r="8" spans="6:66" ht="14.25" customHeight="1" x14ac:dyDescent="0.35">
      <c r="G8" s="7">
        <v>1</v>
      </c>
      <c r="H8" s="27" t="s">
        <v>37</v>
      </c>
      <c r="I8" s="7">
        <v>1001</v>
      </c>
      <c r="J8" s="15">
        <f>COUNTIF(K$6:AO$6,"Sun")</f>
        <v>4</v>
      </c>
      <c r="K8" s="7" t="s">
        <v>36</v>
      </c>
      <c r="L8" s="7" t="s">
        <v>36</v>
      </c>
      <c r="M8" s="7" t="s">
        <v>36</v>
      </c>
      <c r="N8" s="7" t="s">
        <v>36</v>
      </c>
      <c r="O8" s="7" t="s">
        <v>36</v>
      </c>
      <c r="P8" s="7" t="s">
        <v>57</v>
      </c>
      <c r="Q8" s="7" t="s">
        <v>58</v>
      </c>
      <c r="R8" s="7" t="s">
        <v>56</v>
      </c>
      <c r="S8" s="7" t="s">
        <v>56</v>
      </c>
      <c r="T8" s="7" t="s">
        <v>57</v>
      </c>
      <c r="U8" s="7" t="s">
        <v>36</v>
      </c>
      <c r="V8" s="7" t="s">
        <v>36</v>
      </c>
      <c r="W8" s="7" t="s">
        <v>36</v>
      </c>
      <c r="X8" s="7" t="s">
        <v>58</v>
      </c>
      <c r="Y8" s="7" t="s">
        <v>56</v>
      </c>
      <c r="Z8" s="7" t="s">
        <v>57</v>
      </c>
      <c r="AA8" s="7" t="s">
        <v>36</v>
      </c>
      <c r="AB8" s="7" t="s">
        <v>36</v>
      </c>
      <c r="AC8" s="7" t="s">
        <v>36</v>
      </c>
      <c r="AD8" s="7" t="s">
        <v>36</v>
      </c>
      <c r="AE8" s="7" t="s">
        <v>58</v>
      </c>
      <c r="AF8" s="7" t="s">
        <v>36</v>
      </c>
      <c r="AG8" s="7" t="s">
        <v>36</v>
      </c>
      <c r="AH8" s="7" t="s">
        <v>36</v>
      </c>
      <c r="AI8" s="7" t="s">
        <v>36</v>
      </c>
      <c r="AJ8" s="7" t="s">
        <v>36</v>
      </c>
      <c r="AK8" s="7" t="s">
        <v>36</v>
      </c>
      <c r="AL8" s="7" t="s">
        <v>58</v>
      </c>
      <c r="AM8" s="7" t="s">
        <v>56</v>
      </c>
      <c r="AN8" s="7" t="s">
        <v>56</v>
      </c>
      <c r="AO8" s="7"/>
      <c r="AP8" s="5"/>
      <c r="AQ8" s="5"/>
      <c r="AR8" s="7">
        <v>1</v>
      </c>
      <c r="AS8" s="29" t="s">
        <v>37</v>
      </c>
      <c r="AT8" s="7" t="s">
        <v>70</v>
      </c>
      <c r="AU8" s="7">
        <v>1001</v>
      </c>
      <c r="AV8" s="30">
        <f t="shared" ref="AV8:AV27" si="2">COUNTIF($K8:$AO8,"P")</f>
        <v>18</v>
      </c>
      <c r="AW8" s="30">
        <f>COUNTIF($K8:$AO8,"A")</f>
        <v>5</v>
      </c>
      <c r="AX8" s="30">
        <f t="shared" ref="AX8:AX27" si="3">COUNTIF($K8:$AO8,"L")</f>
        <v>3</v>
      </c>
      <c r="AY8" s="31">
        <f t="shared" ref="AY8:AY27" si="4">COUNTIF($K8:$AO8,"WO")</f>
        <v>4</v>
      </c>
      <c r="AZ8" s="31">
        <f>($M$5-$H$5)+1</f>
        <v>30</v>
      </c>
      <c r="BA8" s="32">
        <f>Table1310[[#This Row],[Days]]-Table1310[[#This Row],[Absent]]</f>
        <v>25</v>
      </c>
      <c r="BB8" s="33">
        <v>4500</v>
      </c>
      <c r="BC8" s="36">
        <f>Table1310[[#This Row],[Salary]]/Table1310[[#This Row],[Days]]</f>
        <v>150</v>
      </c>
      <c r="BD8" s="34">
        <f>Table1310[[#This Row],[Per Day Salary]]*Table1310[[#This Row],[Absent]]</f>
        <v>750</v>
      </c>
      <c r="BE8" s="33">
        <f>Table1310[[#This Row],[Salary]]-Table1310[[#This Row],[Deduction ]]</f>
        <v>3750</v>
      </c>
      <c r="BF8" s="5"/>
      <c r="BG8" s="5"/>
      <c r="BH8" s="5"/>
      <c r="BI8" s="5"/>
      <c r="BJ8" s="5"/>
      <c r="BK8" s="5"/>
      <c r="BL8" s="5"/>
    </row>
    <row r="9" spans="6:66" x14ac:dyDescent="0.35">
      <c r="G9" s="7">
        <v>2</v>
      </c>
      <c r="H9" s="27" t="s">
        <v>38</v>
      </c>
      <c r="I9" s="7">
        <v>1002</v>
      </c>
      <c r="J9" s="15">
        <f t="shared" ref="J9:J27" si="5">COUNTIF(K$6:AO$6,"Sun")</f>
        <v>4</v>
      </c>
      <c r="K9" s="7" t="s">
        <v>36</v>
      </c>
      <c r="L9" s="7" t="s">
        <v>36</v>
      </c>
      <c r="M9" s="7" t="s">
        <v>36</v>
      </c>
      <c r="N9" s="7" t="s">
        <v>36</v>
      </c>
      <c r="O9" s="7" t="s">
        <v>36</v>
      </c>
      <c r="P9" s="7" t="s">
        <v>57</v>
      </c>
      <c r="Q9" s="7" t="s">
        <v>58</v>
      </c>
      <c r="R9" s="7" t="s">
        <v>56</v>
      </c>
      <c r="S9" s="7" t="s">
        <v>56</v>
      </c>
      <c r="T9" s="7" t="s">
        <v>57</v>
      </c>
      <c r="U9" s="7" t="s">
        <v>36</v>
      </c>
      <c r="V9" s="7" t="s">
        <v>36</v>
      </c>
      <c r="W9" s="7" t="s">
        <v>36</v>
      </c>
      <c r="X9" s="7" t="s">
        <v>58</v>
      </c>
      <c r="Y9" s="7" t="s">
        <v>56</v>
      </c>
      <c r="Z9" s="7" t="s">
        <v>57</v>
      </c>
      <c r="AA9" s="7" t="s">
        <v>36</v>
      </c>
      <c r="AB9" s="7" t="s">
        <v>36</v>
      </c>
      <c r="AC9" s="7" t="s">
        <v>36</v>
      </c>
      <c r="AD9" s="7" t="s">
        <v>36</v>
      </c>
      <c r="AE9" s="7" t="s">
        <v>58</v>
      </c>
      <c r="AF9" s="7" t="s">
        <v>36</v>
      </c>
      <c r="AG9" s="7" t="s">
        <v>36</v>
      </c>
      <c r="AH9" s="7" t="s">
        <v>36</v>
      </c>
      <c r="AI9" s="7" t="s">
        <v>36</v>
      </c>
      <c r="AJ9" s="7" t="s">
        <v>36</v>
      </c>
      <c r="AK9" s="7" t="s">
        <v>36</v>
      </c>
      <c r="AL9" s="7" t="s">
        <v>58</v>
      </c>
      <c r="AM9" s="7" t="s">
        <v>56</v>
      </c>
      <c r="AN9" s="7" t="s">
        <v>56</v>
      </c>
      <c r="AO9" s="7"/>
      <c r="AP9" s="5"/>
      <c r="AQ9" s="5"/>
      <c r="AR9" s="7">
        <v>2</v>
      </c>
      <c r="AS9" s="7" t="s">
        <v>38</v>
      </c>
      <c r="AT9" s="7" t="s">
        <v>70</v>
      </c>
      <c r="AU9" s="7">
        <v>1002</v>
      </c>
      <c r="AV9" s="30">
        <f t="shared" si="2"/>
        <v>18</v>
      </c>
      <c r="AW9" s="30">
        <f>COUNTIF($K9:$AO9,"A")</f>
        <v>5</v>
      </c>
      <c r="AX9" s="35">
        <f t="shared" si="3"/>
        <v>3</v>
      </c>
      <c r="AY9" s="31">
        <f t="shared" si="4"/>
        <v>4</v>
      </c>
      <c r="AZ9" s="31">
        <f t="shared" ref="AZ9:AZ27" si="6">($M$5-$H$5)+1</f>
        <v>30</v>
      </c>
      <c r="BA9" s="32">
        <f>Table1310[[#This Row],[Days]]-Table1310[[#This Row],[Absent]]</f>
        <v>25</v>
      </c>
      <c r="BB9" s="33">
        <v>4600</v>
      </c>
      <c r="BC9" s="36">
        <f>Table1310[[#This Row],[Salary]]/Table1310[[#This Row],[Days]]</f>
        <v>153.33333333333334</v>
      </c>
      <c r="BD9" s="34">
        <f>Table1310[[#This Row],[Per Day Salary]]*Table1310[[#This Row],[Absent]]</f>
        <v>766.66666666666674</v>
      </c>
      <c r="BE9" s="33">
        <f>Table1310[[#This Row],[Salary]]-Table1310[[#This Row],[Deduction ]]</f>
        <v>3833.333333333333</v>
      </c>
      <c r="BF9" s="5"/>
      <c r="BG9" s="5"/>
      <c r="BH9" s="5"/>
      <c r="BI9" s="5"/>
      <c r="BJ9" s="5"/>
      <c r="BK9" s="5"/>
      <c r="BL9" s="5"/>
    </row>
    <row r="10" spans="6:66" x14ac:dyDescent="0.35">
      <c r="G10" s="7">
        <v>3</v>
      </c>
      <c r="H10" s="27" t="s">
        <v>39</v>
      </c>
      <c r="I10" s="7">
        <v>1003</v>
      </c>
      <c r="J10" s="15">
        <f t="shared" si="5"/>
        <v>4</v>
      </c>
      <c r="K10" s="7" t="s">
        <v>36</v>
      </c>
      <c r="L10" s="7" t="s">
        <v>36</v>
      </c>
      <c r="M10" s="7" t="s">
        <v>36</v>
      </c>
      <c r="N10" s="7" t="s">
        <v>36</v>
      </c>
      <c r="O10" s="7" t="s">
        <v>36</v>
      </c>
      <c r="P10" s="7" t="s">
        <v>57</v>
      </c>
      <c r="Q10" s="7" t="s">
        <v>58</v>
      </c>
      <c r="R10" s="7" t="s">
        <v>56</v>
      </c>
      <c r="S10" s="7" t="s">
        <v>56</v>
      </c>
      <c r="T10" s="7" t="s">
        <v>57</v>
      </c>
      <c r="U10" s="7" t="s">
        <v>36</v>
      </c>
      <c r="V10" s="7" t="s">
        <v>36</v>
      </c>
      <c r="W10" s="7" t="s">
        <v>36</v>
      </c>
      <c r="X10" s="7" t="s">
        <v>58</v>
      </c>
      <c r="Y10" s="7" t="s">
        <v>56</v>
      </c>
      <c r="Z10" s="7" t="s">
        <v>57</v>
      </c>
      <c r="AA10" s="7" t="s">
        <v>36</v>
      </c>
      <c r="AB10" s="7" t="s">
        <v>36</v>
      </c>
      <c r="AC10" s="7" t="s">
        <v>36</v>
      </c>
      <c r="AD10" s="7" t="s">
        <v>36</v>
      </c>
      <c r="AE10" s="7" t="s">
        <v>58</v>
      </c>
      <c r="AF10" s="7" t="s">
        <v>36</v>
      </c>
      <c r="AG10" s="7" t="s">
        <v>36</v>
      </c>
      <c r="AH10" s="7" t="s">
        <v>36</v>
      </c>
      <c r="AI10" s="7" t="s">
        <v>36</v>
      </c>
      <c r="AJ10" s="7" t="s">
        <v>36</v>
      </c>
      <c r="AK10" s="7" t="s">
        <v>36</v>
      </c>
      <c r="AL10" s="7" t="s">
        <v>58</v>
      </c>
      <c r="AM10" s="7" t="s">
        <v>56</v>
      </c>
      <c r="AN10" s="7" t="s">
        <v>56</v>
      </c>
      <c r="AO10" s="7"/>
      <c r="AP10" s="5"/>
      <c r="AQ10" s="5"/>
      <c r="AR10" s="7">
        <v>3</v>
      </c>
      <c r="AS10" s="7" t="s">
        <v>39</v>
      </c>
      <c r="AT10" s="7" t="s">
        <v>70</v>
      </c>
      <c r="AU10" s="7">
        <v>1003</v>
      </c>
      <c r="AV10" s="30">
        <f t="shared" si="2"/>
        <v>18</v>
      </c>
      <c r="AW10" s="30">
        <f t="shared" ref="AW10:AW27" si="7">COUNTIF($K10:$AO10,"A")</f>
        <v>5</v>
      </c>
      <c r="AX10" s="30">
        <f t="shared" si="3"/>
        <v>3</v>
      </c>
      <c r="AY10" s="31">
        <f t="shared" si="4"/>
        <v>4</v>
      </c>
      <c r="AZ10" s="31">
        <f t="shared" si="6"/>
        <v>30</v>
      </c>
      <c r="BA10" s="32">
        <f>Table1310[[#This Row],[Days]]-Table1310[[#This Row],[Absent]]</f>
        <v>25</v>
      </c>
      <c r="BB10" s="33">
        <v>4700</v>
      </c>
      <c r="BC10" s="36">
        <f>Table1310[[#This Row],[Salary]]/Table1310[[#This Row],[Days]]</f>
        <v>156.66666666666666</v>
      </c>
      <c r="BD10" s="34">
        <f>Table1310[[#This Row],[Per Day Salary]]*Table1310[[#This Row],[Absent]]</f>
        <v>783.33333333333326</v>
      </c>
      <c r="BE10" s="33">
        <f>Table1310[[#This Row],[Salary]]-Table1310[[#This Row],[Deduction ]]</f>
        <v>3916.666666666667</v>
      </c>
      <c r="BF10" s="5"/>
      <c r="BG10" s="5"/>
      <c r="BH10" s="5"/>
      <c r="BI10" s="5"/>
      <c r="BJ10" s="5"/>
      <c r="BK10" s="5"/>
      <c r="BL10" s="5"/>
    </row>
    <row r="11" spans="6:66" x14ac:dyDescent="0.35">
      <c r="G11" s="7">
        <v>4</v>
      </c>
      <c r="H11" s="27" t="s">
        <v>59</v>
      </c>
      <c r="I11" s="7">
        <v>1004</v>
      </c>
      <c r="J11" s="15">
        <f t="shared" si="5"/>
        <v>4</v>
      </c>
      <c r="K11" s="7" t="s">
        <v>36</v>
      </c>
      <c r="L11" s="7" t="s">
        <v>36</v>
      </c>
      <c r="M11" s="7" t="s">
        <v>36</v>
      </c>
      <c r="N11" s="7" t="s">
        <v>36</v>
      </c>
      <c r="O11" s="7" t="s">
        <v>36</v>
      </c>
      <c r="P11" s="7" t="s">
        <v>57</v>
      </c>
      <c r="Q11" s="7" t="s">
        <v>58</v>
      </c>
      <c r="R11" s="7" t="s">
        <v>56</v>
      </c>
      <c r="S11" s="7" t="s">
        <v>56</v>
      </c>
      <c r="T11" s="7" t="s">
        <v>57</v>
      </c>
      <c r="U11" s="7" t="s">
        <v>36</v>
      </c>
      <c r="V11" s="7" t="s">
        <v>36</v>
      </c>
      <c r="W11" s="7" t="s">
        <v>36</v>
      </c>
      <c r="X11" s="7" t="s">
        <v>58</v>
      </c>
      <c r="Y11" s="7" t="s">
        <v>56</v>
      </c>
      <c r="Z11" s="7" t="s">
        <v>57</v>
      </c>
      <c r="AA11" s="7" t="s">
        <v>36</v>
      </c>
      <c r="AB11" s="7" t="s">
        <v>36</v>
      </c>
      <c r="AC11" s="7" t="s">
        <v>36</v>
      </c>
      <c r="AD11" s="7" t="s">
        <v>36</v>
      </c>
      <c r="AE11" s="7" t="s">
        <v>58</v>
      </c>
      <c r="AF11" s="7" t="s">
        <v>36</v>
      </c>
      <c r="AG11" s="7" t="s">
        <v>36</v>
      </c>
      <c r="AH11" s="7" t="s">
        <v>36</v>
      </c>
      <c r="AI11" s="7" t="s">
        <v>36</v>
      </c>
      <c r="AJ11" s="7" t="s">
        <v>36</v>
      </c>
      <c r="AK11" s="7" t="s">
        <v>36</v>
      </c>
      <c r="AL11" s="7" t="s">
        <v>58</v>
      </c>
      <c r="AM11" s="7" t="s">
        <v>56</v>
      </c>
      <c r="AN11" s="7" t="s">
        <v>56</v>
      </c>
      <c r="AO11" s="7"/>
      <c r="AP11" s="5"/>
      <c r="AQ11" s="5"/>
      <c r="AR11" s="7">
        <v>4</v>
      </c>
      <c r="AS11" s="7" t="s">
        <v>59</v>
      </c>
      <c r="AT11" s="7" t="s">
        <v>70</v>
      </c>
      <c r="AU11" s="7">
        <v>1004</v>
      </c>
      <c r="AV11" s="30">
        <f t="shared" si="2"/>
        <v>18</v>
      </c>
      <c r="AW11" s="30">
        <f t="shared" si="7"/>
        <v>5</v>
      </c>
      <c r="AX11" s="30">
        <f t="shared" si="3"/>
        <v>3</v>
      </c>
      <c r="AY11" s="31">
        <f t="shared" si="4"/>
        <v>4</v>
      </c>
      <c r="AZ11" s="31">
        <f t="shared" si="6"/>
        <v>30</v>
      </c>
      <c r="BA11" s="32">
        <f>Table1310[[#This Row],[Days]]-Table1310[[#This Row],[Absent]]</f>
        <v>25</v>
      </c>
      <c r="BB11" s="33">
        <v>4800</v>
      </c>
      <c r="BC11" s="36">
        <f>Table1310[[#This Row],[Salary]]/Table1310[[#This Row],[Days]]</f>
        <v>160</v>
      </c>
      <c r="BD11" s="34">
        <f>Table1310[[#This Row],[Per Day Salary]]*Table1310[[#This Row],[Absent]]</f>
        <v>800</v>
      </c>
      <c r="BE11" s="33">
        <f>Table1310[[#This Row],[Salary]]-Table1310[[#This Row],[Deduction ]]</f>
        <v>4000</v>
      </c>
      <c r="BF11" s="5"/>
      <c r="BG11" s="5"/>
      <c r="BH11" s="5"/>
      <c r="BI11" s="5"/>
      <c r="BJ11" s="5"/>
      <c r="BK11" s="5"/>
      <c r="BL11" s="5"/>
    </row>
    <row r="12" spans="6:66" x14ac:dyDescent="0.35">
      <c r="G12" s="7">
        <v>5</v>
      </c>
      <c r="H12" s="27" t="s">
        <v>40</v>
      </c>
      <c r="I12" s="7">
        <v>1005</v>
      </c>
      <c r="J12" s="15">
        <f t="shared" si="5"/>
        <v>4</v>
      </c>
      <c r="K12" s="7" t="s">
        <v>36</v>
      </c>
      <c r="L12" s="7" t="s">
        <v>36</v>
      </c>
      <c r="M12" s="7" t="s">
        <v>36</v>
      </c>
      <c r="N12" s="7" t="s">
        <v>36</v>
      </c>
      <c r="O12" s="7" t="s">
        <v>36</v>
      </c>
      <c r="P12" s="7" t="s">
        <v>57</v>
      </c>
      <c r="Q12" s="7" t="s">
        <v>58</v>
      </c>
      <c r="R12" s="7" t="s">
        <v>56</v>
      </c>
      <c r="S12" s="7" t="s">
        <v>56</v>
      </c>
      <c r="T12" s="7" t="s">
        <v>57</v>
      </c>
      <c r="U12" s="7" t="s">
        <v>36</v>
      </c>
      <c r="V12" s="7" t="s">
        <v>36</v>
      </c>
      <c r="W12" s="7" t="s">
        <v>36</v>
      </c>
      <c r="X12" s="7" t="s">
        <v>58</v>
      </c>
      <c r="Y12" s="7" t="s">
        <v>56</v>
      </c>
      <c r="Z12" s="7" t="s">
        <v>57</v>
      </c>
      <c r="AA12" s="7" t="s">
        <v>36</v>
      </c>
      <c r="AB12" s="7" t="s">
        <v>36</v>
      </c>
      <c r="AC12" s="7" t="s">
        <v>36</v>
      </c>
      <c r="AD12" s="7" t="s">
        <v>36</v>
      </c>
      <c r="AE12" s="7" t="s">
        <v>58</v>
      </c>
      <c r="AF12" s="7" t="s">
        <v>36</v>
      </c>
      <c r="AG12" s="7" t="s">
        <v>36</v>
      </c>
      <c r="AH12" s="7" t="s">
        <v>36</v>
      </c>
      <c r="AI12" s="7" t="s">
        <v>36</v>
      </c>
      <c r="AJ12" s="7" t="s">
        <v>36</v>
      </c>
      <c r="AK12" s="7" t="s">
        <v>36</v>
      </c>
      <c r="AL12" s="7" t="s">
        <v>58</v>
      </c>
      <c r="AM12" s="7" t="s">
        <v>56</v>
      </c>
      <c r="AN12" s="7" t="s">
        <v>56</v>
      </c>
      <c r="AO12" s="7"/>
      <c r="AP12" s="5"/>
      <c r="AQ12" s="5"/>
      <c r="AR12" s="7">
        <v>5</v>
      </c>
      <c r="AS12" s="7" t="s">
        <v>40</v>
      </c>
      <c r="AT12" s="7" t="s">
        <v>70</v>
      </c>
      <c r="AU12" s="7">
        <v>1005</v>
      </c>
      <c r="AV12" s="30">
        <f t="shared" si="2"/>
        <v>18</v>
      </c>
      <c r="AW12" s="30">
        <f t="shared" si="7"/>
        <v>5</v>
      </c>
      <c r="AX12" s="30">
        <f t="shared" si="3"/>
        <v>3</v>
      </c>
      <c r="AY12" s="31">
        <f t="shared" si="4"/>
        <v>4</v>
      </c>
      <c r="AZ12" s="31">
        <f t="shared" si="6"/>
        <v>30</v>
      </c>
      <c r="BA12" s="32">
        <f>Table1310[[#This Row],[Days]]-Table1310[[#This Row],[Absent]]</f>
        <v>25</v>
      </c>
      <c r="BB12" s="33">
        <v>4900</v>
      </c>
      <c r="BC12" s="36">
        <f>Table1310[[#This Row],[Salary]]/Table1310[[#This Row],[Days]]</f>
        <v>163.33333333333334</v>
      </c>
      <c r="BD12" s="34">
        <f>Table1310[[#This Row],[Per Day Salary]]*Table1310[[#This Row],[Absent]]</f>
        <v>816.66666666666674</v>
      </c>
      <c r="BE12" s="33">
        <f>Table1310[[#This Row],[Salary]]-Table1310[[#This Row],[Deduction ]]</f>
        <v>4083.333333333333</v>
      </c>
      <c r="BF12" s="5"/>
      <c r="BG12" s="5"/>
      <c r="BH12" s="5"/>
      <c r="BI12" s="5"/>
      <c r="BJ12" s="5"/>
      <c r="BK12" s="5"/>
      <c r="BL12" s="5"/>
    </row>
    <row r="13" spans="6:66" x14ac:dyDescent="0.35">
      <c r="G13" s="7">
        <v>6</v>
      </c>
      <c r="H13" s="27" t="s">
        <v>41</v>
      </c>
      <c r="I13" s="7">
        <v>1006</v>
      </c>
      <c r="J13" s="15">
        <f t="shared" si="5"/>
        <v>4</v>
      </c>
      <c r="K13" s="7" t="s">
        <v>36</v>
      </c>
      <c r="L13" s="7" t="s">
        <v>36</v>
      </c>
      <c r="M13" s="7" t="s">
        <v>36</v>
      </c>
      <c r="N13" s="7" t="s">
        <v>36</v>
      </c>
      <c r="O13" s="7" t="s">
        <v>36</v>
      </c>
      <c r="P13" s="7" t="s">
        <v>57</v>
      </c>
      <c r="Q13" s="7" t="s">
        <v>58</v>
      </c>
      <c r="R13" s="7" t="s">
        <v>56</v>
      </c>
      <c r="S13" s="7" t="s">
        <v>56</v>
      </c>
      <c r="T13" s="7" t="s">
        <v>57</v>
      </c>
      <c r="U13" s="7" t="s">
        <v>36</v>
      </c>
      <c r="V13" s="7" t="s">
        <v>36</v>
      </c>
      <c r="W13" s="7" t="s">
        <v>36</v>
      </c>
      <c r="X13" s="7" t="s">
        <v>58</v>
      </c>
      <c r="Y13" s="7" t="s">
        <v>56</v>
      </c>
      <c r="Z13" s="7" t="s">
        <v>57</v>
      </c>
      <c r="AA13" s="7" t="s">
        <v>36</v>
      </c>
      <c r="AB13" s="7" t="s">
        <v>36</v>
      </c>
      <c r="AC13" s="7" t="s">
        <v>36</v>
      </c>
      <c r="AD13" s="7" t="s">
        <v>36</v>
      </c>
      <c r="AE13" s="7" t="s">
        <v>58</v>
      </c>
      <c r="AF13" s="7" t="s">
        <v>36</v>
      </c>
      <c r="AG13" s="7" t="s">
        <v>36</v>
      </c>
      <c r="AH13" s="7" t="s">
        <v>36</v>
      </c>
      <c r="AI13" s="7" t="s">
        <v>36</v>
      </c>
      <c r="AJ13" s="7" t="s">
        <v>36</v>
      </c>
      <c r="AK13" s="7" t="s">
        <v>36</v>
      </c>
      <c r="AL13" s="7" t="s">
        <v>58</v>
      </c>
      <c r="AM13" s="7" t="s">
        <v>56</v>
      </c>
      <c r="AN13" s="7" t="s">
        <v>56</v>
      </c>
      <c r="AO13" s="7"/>
      <c r="AP13" s="5"/>
      <c r="AQ13" s="5"/>
      <c r="AR13" s="7">
        <v>6</v>
      </c>
      <c r="AS13" s="7" t="s">
        <v>41</v>
      </c>
      <c r="AT13" s="7" t="s">
        <v>70</v>
      </c>
      <c r="AU13" s="7">
        <v>1006</v>
      </c>
      <c r="AV13" s="30">
        <f t="shared" si="2"/>
        <v>18</v>
      </c>
      <c r="AW13" s="30">
        <f t="shared" si="7"/>
        <v>5</v>
      </c>
      <c r="AX13" s="30">
        <f t="shared" si="3"/>
        <v>3</v>
      </c>
      <c r="AY13" s="31">
        <f t="shared" si="4"/>
        <v>4</v>
      </c>
      <c r="AZ13" s="31">
        <f t="shared" si="6"/>
        <v>30</v>
      </c>
      <c r="BA13" s="32">
        <f>Table1310[[#This Row],[Days]]-Table1310[[#This Row],[Absent]]</f>
        <v>25</v>
      </c>
      <c r="BB13" s="33">
        <v>5000</v>
      </c>
      <c r="BC13" s="36">
        <f>Table1310[[#This Row],[Salary]]/Table1310[[#This Row],[Days]]</f>
        <v>166.66666666666666</v>
      </c>
      <c r="BD13" s="34">
        <f>Table1310[[#This Row],[Per Day Salary]]*Table1310[[#This Row],[Absent]]</f>
        <v>833.33333333333326</v>
      </c>
      <c r="BE13" s="33">
        <f>Table1310[[#This Row],[Salary]]-Table1310[[#This Row],[Deduction ]]</f>
        <v>4166.666666666667</v>
      </c>
      <c r="BF13" s="5"/>
      <c r="BG13" s="5"/>
      <c r="BH13" s="5"/>
      <c r="BI13" s="5"/>
      <c r="BJ13" s="5"/>
      <c r="BK13" s="5"/>
      <c r="BL13" s="5"/>
    </row>
    <row r="14" spans="6:66" x14ac:dyDescent="0.35">
      <c r="G14" s="7">
        <v>7</v>
      </c>
      <c r="H14" s="27" t="s">
        <v>42</v>
      </c>
      <c r="I14" s="7">
        <v>1007</v>
      </c>
      <c r="J14" s="15">
        <f t="shared" si="5"/>
        <v>4</v>
      </c>
      <c r="K14" s="7" t="s">
        <v>36</v>
      </c>
      <c r="L14" s="7" t="s">
        <v>36</v>
      </c>
      <c r="M14" s="7" t="s">
        <v>36</v>
      </c>
      <c r="N14" s="7" t="s">
        <v>36</v>
      </c>
      <c r="O14" s="7" t="s">
        <v>36</v>
      </c>
      <c r="P14" s="7" t="s">
        <v>57</v>
      </c>
      <c r="Q14" s="7" t="s">
        <v>58</v>
      </c>
      <c r="R14" s="7" t="s">
        <v>56</v>
      </c>
      <c r="S14" s="7" t="s">
        <v>56</v>
      </c>
      <c r="T14" s="7" t="s">
        <v>57</v>
      </c>
      <c r="U14" s="7" t="s">
        <v>36</v>
      </c>
      <c r="V14" s="7" t="s">
        <v>36</v>
      </c>
      <c r="W14" s="7" t="s">
        <v>36</v>
      </c>
      <c r="X14" s="7" t="s">
        <v>58</v>
      </c>
      <c r="Y14" s="7" t="s">
        <v>56</v>
      </c>
      <c r="Z14" s="7" t="s">
        <v>57</v>
      </c>
      <c r="AA14" s="7" t="s">
        <v>36</v>
      </c>
      <c r="AB14" s="7" t="s">
        <v>36</v>
      </c>
      <c r="AC14" s="7" t="s">
        <v>36</v>
      </c>
      <c r="AD14" s="7" t="s">
        <v>36</v>
      </c>
      <c r="AE14" s="7" t="s">
        <v>58</v>
      </c>
      <c r="AF14" s="7" t="s">
        <v>36</v>
      </c>
      <c r="AG14" s="7" t="s">
        <v>36</v>
      </c>
      <c r="AH14" s="7" t="s">
        <v>36</v>
      </c>
      <c r="AI14" s="7" t="s">
        <v>36</v>
      </c>
      <c r="AJ14" s="7" t="s">
        <v>36</v>
      </c>
      <c r="AK14" s="7" t="s">
        <v>36</v>
      </c>
      <c r="AL14" s="7" t="s">
        <v>58</v>
      </c>
      <c r="AM14" s="7" t="s">
        <v>56</v>
      </c>
      <c r="AN14" s="7" t="s">
        <v>56</v>
      </c>
      <c r="AO14" s="7"/>
      <c r="AR14" s="7">
        <v>7</v>
      </c>
      <c r="AS14" s="7" t="s">
        <v>42</v>
      </c>
      <c r="AT14" s="7" t="s">
        <v>70</v>
      </c>
      <c r="AU14" s="7">
        <v>1007</v>
      </c>
      <c r="AV14" s="30">
        <f t="shared" si="2"/>
        <v>18</v>
      </c>
      <c r="AW14" s="30">
        <f t="shared" si="7"/>
        <v>5</v>
      </c>
      <c r="AX14" s="30">
        <f t="shared" si="3"/>
        <v>3</v>
      </c>
      <c r="AY14" s="31">
        <f t="shared" si="4"/>
        <v>4</v>
      </c>
      <c r="AZ14" s="31">
        <f t="shared" si="6"/>
        <v>30</v>
      </c>
      <c r="BA14" s="32">
        <f>Table1310[[#This Row],[Days]]-Table1310[[#This Row],[Absent]]</f>
        <v>25</v>
      </c>
      <c r="BB14" s="33">
        <v>5100</v>
      </c>
      <c r="BC14" s="36">
        <f>Table1310[[#This Row],[Salary]]/Table1310[[#This Row],[Days]]</f>
        <v>170</v>
      </c>
      <c r="BD14" s="34">
        <f>Table1310[[#This Row],[Per Day Salary]]*Table1310[[#This Row],[Absent]]</f>
        <v>850</v>
      </c>
      <c r="BE14" s="33">
        <f>Table1310[[#This Row],[Salary]]-Table1310[[#This Row],[Deduction ]]</f>
        <v>4250</v>
      </c>
    </row>
    <row r="15" spans="6:66" x14ac:dyDescent="0.35">
      <c r="G15" s="7">
        <v>8</v>
      </c>
      <c r="H15" s="27" t="s">
        <v>43</v>
      </c>
      <c r="I15" s="7">
        <v>1008</v>
      </c>
      <c r="J15" s="15">
        <f t="shared" si="5"/>
        <v>4</v>
      </c>
      <c r="K15" s="7" t="s">
        <v>36</v>
      </c>
      <c r="L15" s="7" t="s">
        <v>36</v>
      </c>
      <c r="M15" s="7" t="s">
        <v>36</v>
      </c>
      <c r="N15" s="7" t="s">
        <v>36</v>
      </c>
      <c r="O15" s="7" t="s">
        <v>36</v>
      </c>
      <c r="P15" s="7" t="s">
        <v>57</v>
      </c>
      <c r="Q15" s="7" t="s">
        <v>58</v>
      </c>
      <c r="R15" s="7" t="s">
        <v>56</v>
      </c>
      <c r="S15" s="7" t="s">
        <v>56</v>
      </c>
      <c r="T15" s="7" t="s">
        <v>57</v>
      </c>
      <c r="U15" s="7" t="s">
        <v>36</v>
      </c>
      <c r="V15" s="7" t="s">
        <v>36</v>
      </c>
      <c r="W15" s="7" t="s">
        <v>36</v>
      </c>
      <c r="X15" s="7" t="s">
        <v>58</v>
      </c>
      <c r="Y15" s="7" t="s">
        <v>56</v>
      </c>
      <c r="Z15" s="7" t="s">
        <v>57</v>
      </c>
      <c r="AA15" s="7" t="s">
        <v>36</v>
      </c>
      <c r="AB15" s="7" t="s">
        <v>36</v>
      </c>
      <c r="AC15" s="7" t="s">
        <v>36</v>
      </c>
      <c r="AD15" s="7" t="s">
        <v>36</v>
      </c>
      <c r="AE15" s="7" t="s">
        <v>58</v>
      </c>
      <c r="AF15" s="7" t="s">
        <v>36</v>
      </c>
      <c r="AG15" s="7" t="s">
        <v>36</v>
      </c>
      <c r="AH15" s="7" t="s">
        <v>36</v>
      </c>
      <c r="AI15" s="7" t="s">
        <v>36</v>
      </c>
      <c r="AJ15" s="7" t="s">
        <v>36</v>
      </c>
      <c r="AK15" s="7" t="s">
        <v>36</v>
      </c>
      <c r="AL15" s="7" t="s">
        <v>58</v>
      </c>
      <c r="AM15" s="7" t="s">
        <v>56</v>
      </c>
      <c r="AN15" s="7" t="s">
        <v>56</v>
      </c>
      <c r="AO15" s="7"/>
      <c r="AR15" s="7">
        <v>8</v>
      </c>
      <c r="AS15" s="7" t="s">
        <v>43</v>
      </c>
      <c r="AT15" s="7" t="s">
        <v>70</v>
      </c>
      <c r="AU15" s="7">
        <v>1008</v>
      </c>
      <c r="AV15" s="30">
        <f t="shared" si="2"/>
        <v>18</v>
      </c>
      <c r="AW15" s="30">
        <f t="shared" si="7"/>
        <v>5</v>
      </c>
      <c r="AX15" s="30">
        <f t="shared" si="3"/>
        <v>3</v>
      </c>
      <c r="AY15" s="31">
        <f t="shared" si="4"/>
        <v>4</v>
      </c>
      <c r="AZ15" s="31">
        <f t="shared" si="6"/>
        <v>30</v>
      </c>
      <c r="BA15" s="32">
        <f>Table1310[[#This Row],[Days]]-Table1310[[#This Row],[Absent]]</f>
        <v>25</v>
      </c>
      <c r="BB15" s="33">
        <v>5200</v>
      </c>
      <c r="BC15" s="36">
        <f>Table1310[[#This Row],[Salary]]/Table1310[[#This Row],[Days]]</f>
        <v>173.33333333333334</v>
      </c>
      <c r="BD15" s="34">
        <f>Table1310[[#This Row],[Per Day Salary]]*Table1310[[#This Row],[Absent]]</f>
        <v>866.66666666666674</v>
      </c>
      <c r="BE15" s="33">
        <f>Table1310[[#This Row],[Salary]]-Table1310[[#This Row],[Deduction ]]</f>
        <v>4333.333333333333</v>
      </c>
    </row>
    <row r="16" spans="6:66" ht="15" thickBot="1" x14ac:dyDescent="0.4">
      <c r="G16" s="7">
        <v>9</v>
      </c>
      <c r="H16" s="27" t="s">
        <v>44</v>
      </c>
      <c r="I16" s="7">
        <v>1009</v>
      </c>
      <c r="J16" s="15">
        <f t="shared" si="5"/>
        <v>4</v>
      </c>
      <c r="K16" s="7" t="s">
        <v>36</v>
      </c>
      <c r="L16" s="7" t="s">
        <v>36</v>
      </c>
      <c r="M16" s="7" t="s">
        <v>36</v>
      </c>
      <c r="N16" s="7" t="s">
        <v>36</v>
      </c>
      <c r="O16" s="7" t="s">
        <v>36</v>
      </c>
      <c r="P16" s="7" t="s">
        <v>57</v>
      </c>
      <c r="Q16" s="7" t="s">
        <v>58</v>
      </c>
      <c r="R16" s="7" t="s">
        <v>56</v>
      </c>
      <c r="S16" s="7" t="s">
        <v>56</v>
      </c>
      <c r="T16" s="7" t="s">
        <v>57</v>
      </c>
      <c r="U16" s="7" t="s">
        <v>36</v>
      </c>
      <c r="V16" s="7" t="s">
        <v>36</v>
      </c>
      <c r="W16" s="7" t="s">
        <v>36</v>
      </c>
      <c r="X16" s="7" t="s">
        <v>58</v>
      </c>
      <c r="Y16" s="7" t="s">
        <v>56</v>
      </c>
      <c r="Z16" s="7" t="s">
        <v>57</v>
      </c>
      <c r="AA16" s="7" t="s">
        <v>36</v>
      </c>
      <c r="AB16" s="7" t="s">
        <v>36</v>
      </c>
      <c r="AC16" s="7" t="s">
        <v>36</v>
      </c>
      <c r="AD16" s="7" t="s">
        <v>36</v>
      </c>
      <c r="AE16" s="7" t="s">
        <v>58</v>
      </c>
      <c r="AF16" s="7" t="s">
        <v>36</v>
      </c>
      <c r="AG16" s="7" t="s">
        <v>36</v>
      </c>
      <c r="AH16" s="7" t="s">
        <v>36</v>
      </c>
      <c r="AI16" s="7" t="s">
        <v>36</v>
      </c>
      <c r="AJ16" s="7" t="s">
        <v>36</v>
      </c>
      <c r="AK16" s="7" t="s">
        <v>36</v>
      </c>
      <c r="AL16" s="7" t="s">
        <v>58</v>
      </c>
      <c r="AM16" s="7" t="s">
        <v>56</v>
      </c>
      <c r="AN16" s="7" t="s">
        <v>56</v>
      </c>
      <c r="AO16" s="7"/>
      <c r="AR16" s="7">
        <v>9</v>
      </c>
      <c r="AS16" s="7" t="s">
        <v>44</v>
      </c>
      <c r="AT16" s="7" t="s">
        <v>70</v>
      </c>
      <c r="AU16" s="7">
        <v>1009</v>
      </c>
      <c r="AV16" s="30">
        <f t="shared" si="2"/>
        <v>18</v>
      </c>
      <c r="AW16" s="30">
        <f t="shared" si="7"/>
        <v>5</v>
      </c>
      <c r="AX16" s="30">
        <f t="shared" si="3"/>
        <v>3</v>
      </c>
      <c r="AY16" s="31">
        <f t="shared" si="4"/>
        <v>4</v>
      </c>
      <c r="AZ16" s="31">
        <f t="shared" si="6"/>
        <v>30</v>
      </c>
      <c r="BA16" s="32">
        <f>Table1310[[#This Row],[Days]]-Table1310[[#This Row],[Absent]]</f>
        <v>25</v>
      </c>
      <c r="BB16" s="33">
        <v>5300</v>
      </c>
      <c r="BC16" s="36">
        <f>Table1310[[#This Row],[Salary]]/Table1310[[#This Row],[Days]]</f>
        <v>176.66666666666666</v>
      </c>
      <c r="BD16" s="34">
        <f>Table1310[[#This Row],[Per Day Salary]]*Table1310[[#This Row],[Absent]]</f>
        <v>883.33333333333326</v>
      </c>
      <c r="BE16" s="33">
        <f>Table1310[[#This Row],[Salary]]-Table1310[[#This Row],[Deduction ]]</f>
        <v>4416.666666666667</v>
      </c>
    </row>
    <row r="17" spans="7:60" ht="14.15" customHeight="1" thickBot="1" x14ac:dyDescent="0.4">
      <c r="G17" s="7">
        <v>10</v>
      </c>
      <c r="H17" s="27" t="s">
        <v>45</v>
      </c>
      <c r="I17" s="7">
        <v>1010</v>
      </c>
      <c r="J17" s="15">
        <f t="shared" si="5"/>
        <v>4</v>
      </c>
      <c r="K17" s="7" t="s">
        <v>36</v>
      </c>
      <c r="L17" s="7" t="s">
        <v>36</v>
      </c>
      <c r="M17" s="7" t="s">
        <v>36</v>
      </c>
      <c r="N17" s="7" t="s">
        <v>36</v>
      </c>
      <c r="O17" s="7" t="s">
        <v>36</v>
      </c>
      <c r="P17" s="7" t="s">
        <v>57</v>
      </c>
      <c r="Q17" s="7" t="s">
        <v>58</v>
      </c>
      <c r="R17" s="7" t="s">
        <v>56</v>
      </c>
      <c r="S17" s="7" t="s">
        <v>56</v>
      </c>
      <c r="T17" s="7" t="s">
        <v>57</v>
      </c>
      <c r="U17" s="7" t="s">
        <v>36</v>
      </c>
      <c r="V17" s="7" t="s">
        <v>36</v>
      </c>
      <c r="W17" s="7" t="s">
        <v>36</v>
      </c>
      <c r="X17" s="7" t="s">
        <v>58</v>
      </c>
      <c r="Y17" s="7" t="s">
        <v>56</v>
      </c>
      <c r="Z17" s="7" t="s">
        <v>57</v>
      </c>
      <c r="AA17" s="7" t="s">
        <v>36</v>
      </c>
      <c r="AB17" s="7" t="s">
        <v>36</v>
      </c>
      <c r="AC17" s="7" t="s">
        <v>36</v>
      </c>
      <c r="AD17" s="7" t="s">
        <v>36</v>
      </c>
      <c r="AE17" s="7" t="s">
        <v>58</v>
      </c>
      <c r="AF17" s="7" t="s">
        <v>36</v>
      </c>
      <c r="AG17" s="7" t="s">
        <v>36</v>
      </c>
      <c r="AH17" s="7" t="s">
        <v>36</v>
      </c>
      <c r="AI17" s="7" t="s">
        <v>36</v>
      </c>
      <c r="AJ17" s="7" t="s">
        <v>36</v>
      </c>
      <c r="AK17" s="7" t="s">
        <v>36</v>
      </c>
      <c r="AL17" s="7" t="s">
        <v>58</v>
      </c>
      <c r="AM17" s="7" t="s">
        <v>56</v>
      </c>
      <c r="AN17" s="7" t="s">
        <v>56</v>
      </c>
      <c r="AO17" s="7"/>
      <c r="AR17" s="7">
        <v>10</v>
      </c>
      <c r="AS17" s="7" t="s">
        <v>45</v>
      </c>
      <c r="AT17" s="7" t="s">
        <v>70</v>
      </c>
      <c r="AU17" s="7">
        <v>1010</v>
      </c>
      <c r="AV17" s="30">
        <f t="shared" si="2"/>
        <v>18</v>
      </c>
      <c r="AW17" s="30">
        <f t="shared" si="7"/>
        <v>5</v>
      </c>
      <c r="AX17" s="30">
        <f t="shared" si="3"/>
        <v>3</v>
      </c>
      <c r="AY17" s="31">
        <f t="shared" si="4"/>
        <v>4</v>
      </c>
      <c r="AZ17" s="31">
        <f t="shared" si="6"/>
        <v>30</v>
      </c>
      <c r="BA17" s="32">
        <f>Table1310[[#This Row],[Days]]-Table1310[[#This Row],[Absent]]</f>
        <v>25</v>
      </c>
      <c r="BB17" s="33">
        <v>5400</v>
      </c>
      <c r="BC17" s="36">
        <f>Table1310[[#This Row],[Salary]]/Table1310[[#This Row],[Days]]</f>
        <v>180</v>
      </c>
      <c r="BD17" s="34">
        <f>Table1310[[#This Row],[Per Day Salary]]*Table1310[[#This Row],[Absent]]</f>
        <v>900</v>
      </c>
      <c r="BE17" s="33">
        <f>Table1310[[#This Row],[Salary]]-Table1310[[#This Row],[Deduction ]]</f>
        <v>4500</v>
      </c>
      <c r="BH17" s="19"/>
    </row>
    <row r="18" spans="7:60" x14ac:dyDescent="0.35">
      <c r="G18" s="7">
        <v>11</v>
      </c>
      <c r="H18" s="27" t="s">
        <v>46</v>
      </c>
      <c r="I18" s="7">
        <v>1011</v>
      </c>
      <c r="J18" s="15">
        <f t="shared" si="5"/>
        <v>4</v>
      </c>
      <c r="K18" s="7" t="s">
        <v>36</v>
      </c>
      <c r="L18" s="7" t="s">
        <v>36</v>
      </c>
      <c r="M18" s="7" t="s">
        <v>36</v>
      </c>
      <c r="N18" s="7" t="s">
        <v>36</v>
      </c>
      <c r="O18" s="7" t="s">
        <v>36</v>
      </c>
      <c r="P18" s="7" t="s">
        <v>57</v>
      </c>
      <c r="Q18" s="7" t="s">
        <v>58</v>
      </c>
      <c r="R18" s="7" t="s">
        <v>56</v>
      </c>
      <c r="S18" s="7" t="s">
        <v>56</v>
      </c>
      <c r="T18" s="7" t="s">
        <v>57</v>
      </c>
      <c r="U18" s="7" t="s">
        <v>36</v>
      </c>
      <c r="V18" s="7" t="s">
        <v>36</v>
      </c>
      <c r="W18" s="7" t="s">
        <v>36</v>
      </c>
      <c r="X18" s="7" t="s">
        <v>58</v>
      </c>
      <c r="Y18" s="7" t="s">
        <v>56</v>
      </c>
      <c r="Z18" s="7" t="s">
        <v>57</v>
      </c>
      <c r="AA18" s="7" t="s">
        <v>36</v>
      </c>
      <c r="AB18" s="7" t="s">
        <v>36</v>
      </c>
      <c r="AC18" s="7" t="s">
        <v>36</v>
      </c>
      <c r="AD18" s="7" t="s">
        <v>36</v>
      </c>
      <c r="AE18" s="7" t="s">
        <v>58</v>
      </c>
      <c r="AF18" s="7" t="s">
        <v>36</v>
      </c>
      <c r="AG18" s="7" t="s">
        <v>36</v>
      </c>
      <c r="AH18" s="7" t="s">
        <v>36</v>
      </c>
      <c r="AI18" s="7" t="s">
        <v>36</v>
      </c>
      <c r="AJ18" s="7" t="s">
        <v>36</v>
      </c>
      <c r="AK18" s="7" t="s">
        <v>36</v>
      </c>
      <c r="AL18" s="7" t="s">
        <v>58</v>
      </c>
      <c r="AM18" s="7" t="s">
        <v>56</v>
      </c>
      <c r="AN18" s="7" t="s">
        <v>56</v>
      </c>
      <c r="AO18" s="7"/>
      <c r="AR18" s="7">
        <v>11</v>
      </c>
      <c r="AS18" s="7" t="s">
        <v>46</v>
      </c>
      <c r="AT18" s="7" t="s">
        <v>70</v>
      </c>
      <c r="AU18" s="7">
        <v>1011</v>
      </c>
      <c r="AV18" s="30">
        <f t="shared" si="2"/>
        <v>18</v>
      </c>
      <c r="AW18" s="30">
        <f t="shared" si="7"/>
        <v>5</v>
      </c>
      <c r="AX18" s="30">
        <f t="shared" si="3"/>
        <v>3</v>
      </c>
      <c r="AY18" s="31">
        <f t="shared" si="4"/>
        <v>4</v>
      </c>
      <c r="AZ18" s="31">
        <f t="shared" si="6"/>
        <v>30</v>
      </c>
      <c r="BA18" s="32">
        <f>Table1310[[#This Row],[Days]]-Table1310[[#This Row],[Absent]]</f>
        <v>25</v>
      </c>
      <c r="BB18" s="33">
        <v>5500</v>
      </c>
      <c r="BC18" s="36">
        <f>Table1310[[#This Row],[Salary]]/Table1310[[#This Row],[Days]]</f>
        <v>183.33333333333334</v>
      </c>
      <c r="BD18" s="34">
        <f>Table1310[[#This Row],[Per Day Salary]]*Table1310[[#This Row],[Absent]]</f>
        <v>916.66666666666674</v>
      </c>
      <c r="BE18" s="33">
        <f>Table1310[[#This Row],[Salary]]-Table1310[[#This Row],[Deduction ]]</f>
        <v>4583.333333333333</v>
      </c>
    </row>
    <row r="19" spans="7:60" x14ac:dyDescent="0.35">
      <c r="G19" s="7">
        <v>12</v>
      </c>
      <c r="H19" s="27" t="s">
        <v>47</v>
      </c>
      <c r="I19" s="7">
        <v>1012</v>
      </c>
      <c r="J19" s="15">
        <f t="shared" si="5"/>
        <v>4</v>
      </c>
      <c r="K19" s="7" t="s">
        <v>36</v>
      </c>
      <c r="L19" s="7" t="s">
        <v>36</v>
      </c>
      <c r="M19" s="7" t="s">
        <v>36</v>
      </c>
      <c r="N19" s="7" t="s">
        <v>36</v>
      </c>
      <c r="O19" s="7" t="s">
        <v>36</v>
      </c>
      <c r="P19" s="7" t="s">
        <v>57</v>
      </c>
      <c r="Q19" s="7" t="s">
        <v>58</v>
      </c>
      <c r="R19" s="7" t="s">
        <v>56</v>
      </c>
      <c r="S19" s="7" t="s">
        <v>56</v>
      </c>
      <c r="T19" s="7" t="s">
        <v>57</v>
      </c>
      <c r="U19" s="7" t="s">
        <v>36</v>
      </c>
      <c r="V19" s="7" t="s">
        <v>36</v>
      </c>
      <c r="W19" s="7" t="s">
        <v>36</v>
      </c>
      <c r="X19" s="7" t="s">
        <v>58</v>
      </c>
      <c r="Y19" s="7" t="s">
        <v>56</v>
      </c>
      <c r="Z19" s="7" t="s">
        <v>57</v>
      </c>
      <c r="AA19" s="7" t="s">
        <v>36</v>
      </c>
      <c r="AB19" s="7" t="s">
        <v>36</v>
      </c>
      <c r="AC19" s="7" t="s">
        <v>36</v>
      </c>
      <c r="AD19" s="7" t="s">
        <v>36</v>
      </c>
      <c r="AE19" s="7" t="s">
        <v>58</v>
      </c>
      <c r="AF19" s="7" t="s">
        <v>36</v>
      </c>
      <c r="AG19" s="7" t="s">
        <v>36</v>
      </c>
      <c r="AH19" s="7" t="s">
        <v>36</v>
      </c>
      <c r="AI19" s="7" t="s">
        <v>36</v>
      </c>
      <c r="AJ19" s="7" t="s">
        <v>36</v>
      </c>
      <c r="AK19" s="7" t="s">
        <v>36</v>
      </c>
      <c r="AL19" s="7" t="s">
        <v>58</v>
      </c>
      <c r="AM19" s="7" t="s">
        <v>56</v>
      </c>
      <c r="AN19" s="7" t="s">
        <v>56</v>
      </c>
      <c r="AO19" s="7"/>
      <c r="AR19" s="7">
        <v>12</v>
      </c>
      <c r="AS19" s="7" t="s">
        <v>47</v>
      </c>
      <c r="AT19" s="7" t="s">
        <v>70</v>
      </c>
      <c r="AU19" s="7">
        <v>1012</v>
      </c>
      <c r="AV19" s="30">
        <f t="shared" si="2"/>
        <v>18</v>
      </c>
      <c r="AW19" s="30">
        <f t="shared" si="7"/>
        <v>5</v>
      </c>
      <c r="AX19" s="30">
        <f t="shared" si="3"/>
        <v>3</v>
      </c>
      <c r="AY19" s="31">
        <f t="shared" si="4"/>
        <v>4</v>
      </c>
      <c r="AZ19" s="31">
        <f t="shared" si="6"/>
        <v>30</v>
      </c>
      <c r="BA19" s="32">
        <f>Table1310[[#This Row],[Days]]-Table1310[[#This Row],[Absent]]</f>
        <v>25</v>
      </c>
      <c r="BB19" s="33">
        <v>5600</v>
      </c>
      <c r="BC19" s="36">
        <f>Table1310[[#This Row],[Salary]]/Table1310[[#This Row],[Days]]</f>
        <v>186.66666666666666</v>
      </c>
      <c r="BD19" s="34">
        <f>Table1310[[#This Row],[Per Day Salary]]*Table1310[[#This Row],[Absent]]</f>
        <v>933.33333333333326</v>
      </c>
      <c r="BE19" s="33">
        <f>Table1310[[#This Row],[Salary]]-Table1310[[#This Row],[Deduction ]]</f>
        <v>4666.666666666667</v>
      </c>
    </row>
    <row r="20" spans="7:60" x14ac:dyDescent="0.35">
      <c r="G20" s="7">
        <v>13</v>
      </c>
      <c r="H20" s="27" t="s">
        <v>48</v>
      </c>
      <c r="I20" s="7">
        <v>1013</v>
      </c>
      <c r="J20" s="15">
        <f t="shared" si="5"/>
        <v>4</v>
      </c>
      <c r="K20" s="7" t="s">
        <v>36</v>
      </c>
      <c r="L20" s="7" t="s">
        <v>36</v>
      </c>
      <c r="M20" s="7" t="s">
        <v>36</v>
      </c>
      <c r="N20" s="7" t="s">
        <v>36</v>
      </c>
      <c r="O20" s="7" t="s">
        <v>36</v>
      </c>
      <c r="P20" s="7" t="s">
        <v>57</v>
      </c>
      <c r="Q20" s="7" t="s">
        <v>58</v>
      </c>
      <c r="R20" s="7" t="s">
        <v>56</v>
      </c>
      <c r="S20" s="7" t="s">
        <v>56</v>
      </c>
      <c r="T20" s="7" t="s">
        <v>57</v>
      </c>
      <c r="U20" s="7" t="s">
        <v>36</v>
      </c>
      <c r="V20" s="7" t="s">
        <v>36</v>
      </c>
      <c r="W20" s="7" t="s">
        <v>36</v>
      </c>
      <c r="X20" s="7" t="s">
        <v>58</v>
      </c>
      <c r="Y20" s="7" t="s">
        <v>56</v>
      </c>
      <c r="Z20" s="7" t="s">
        <v>57</v>
      </c>
      <c r="AA20" s="7" t="s">
        <v>36</v>
      </c>
      <c r="AB20" s="7" t="s">
        <v>36</v>
      </c>
      <c r="AC20" s="7" t="s">
        <v>36</v>
      </c>
      <c r="AD20" s="7" t="s">
        <v>36</v>
      </c>
      <c r="AE20" s="7" t="s">
        <v>58</v>
      </c>
      <c r="AF20" s="7" t="s">
        <v>36</v>
      </c>
      <c r="AG20" s="7" t="s">
        <v>36</v>
      </c>
      <c r="AH20" s="7" t="s">
        <v>36</v>
      </c>
      <c r="AI20" s="7" t="s">
        <v>36</v>
      </c>
      <c r="AJ20" s="7" t="s">
        <v>36</v>
      </c>
      <c r="AK20" s="7" t="s">
        <v>36</v>
      </c>
      <c r="AL20" s="7" t="s">
        <v>58</v>
      </c>
      <c r="AM20" s="7" t="s">
        <v>56</v>
      </c>
      <c r="AN20" s="7" t="s">
        <v>56</v>
      </c>
      <c r="AO20" s="7"/>
      <c r="AR20" s="7">
        <v>13</v>
      </c>
      <c r="AS20" s="7" t="s">
        <v>48</v>
      </c>
      <c r="AT20" s="7" t="s">
        <v>70</v>
      </c>
      <c r="AU20" s="7">
        <v>1013</v>
      </c>
      <c r="AV20" s="30">
        <f t="shared" si="2"/>
        <v>18</v>
      </c>
      <c r="AW20" s="30">
        <f t="shared" si="7"/>
        <v>5</v>
      </c>
      <c r="AX20" s="30">
        <f t="shared" si="3"/>
        <v>3</v>
      </c>
      <c r="AY20" s="31">
        <f t="shared" si="4"/>
        <v>4</v>
      </c>
      <c r="AZ20" s="31">
        <f t="shared" si="6"/>
        <v>30</v>
      </c>
      <c r="BA20" s="32">
        <f>Table1310[[#This Row],[Days]]-Table1310[[#This Row],[Absent]]</f>
        <v>25</v>
      </c>
      <c r="BB20" s="33">
        <v>5700</v>
      </c>
      <c r="BC20" s="36">
        <f>Table1310[[#This Row],[Salary]]/Table1310[[#This Row],[Days]]</f>
        <v>190</v>
      </c>
      <c r="BD20" s="34">
        <f>Table1310[[#This Row],[Per Day Salary]]*Table1310[[#This Row],[Absent]]</f>
        <v>950</v>
      </c>
      <c r="BE20" s="33">
        <f>Table1310[[#This Row],[Salary]]-Table1310[[#This Row],[Deduction ]]</f>
        <v>4750</v>
      </c>
    </row>
    <row r="21" spans="7:60" x14ac:dyDescent="0.35">
      <c r="G21" s="7">
        <v>14</v>
      </c>
      <c r="H21" s="27" t="s">
        <v>49</v>
      </c>
      <c r="I21" s="7">
        <v>1014</v>
      </c>
      <c r="J21" s="15">
        <f t="shared" si="5"/>
        <v>4</v>
      </c>
      <c r="K21" s="7" t="s">
        <v>36</v>
      </c>
      <c r="L21" s="7" t="s">
        <v>36</v>
      </c>
      <c r="M21" s="7" t="s">
        <v>36</v>
      </c>
      <c r="N21" s="7" t="s">
        <v>36</v>
      </c>
      <c r="O21" s="7" t="s">
        <v>36</v>
      </c>
      <c r="P21" s="7" t="s">
        <v>57</v>
      </c>
      <c r="Q21" s="7" t="s">
        <v>58</v>
      </c>
      <c r="R21" s="7" t="s">
        <v>56</v>
      </c>
      <c r="S21" s="7" t="s">
        <v>56</v>
      </c>
      <c r="T21" s="7" t="s">
        <v>57</v>
      </c>
      <c r="U21" s="7" t="s">
        <v>36</v>
      </c>
      <c r="V21" s="7" t="s">
        <v>36</v>
      </c>
      <c r="W21" s="7" t="s">
        <v>36</v>
      </c>
      <c r="X21" s="7" t="s">
        <v>58</v>
      </c>
      <c r="Y21" s="7" t="s">
        <v>56</v>
      </c>
      <c r="Z21" s="7" t="s">
        <v>57</v>
      </c>
      <c r="AA21" s="7" t="s">
        <v>36</v>
      </c>
      <c r="AB21" s="7" t="s">
        <v>36</v>
      </c>
      <c r="AC21" s="7" t="s">
        <v>36</v>
      </c>
      <c r="AD21" s="7" t="s">
        <v>36</v>
      </c>
      <c r="AE21" s="7" t="s">
        <v>58</v>
      </c>
      <c r="AF21" s="7" t="s">
        <v>36</v>
      </c>
      <c r="AG21" s="7" t="s">
        <v>36</v>
      </c>
      <c r="AH21" s="7" t="s">
        <v>36</v>
      </c>
      <c r="AI21" s="7" t="s">
        <v>36</v>
      </c>
      <c r="AJ21" s="7" t="s">
        <v>36</v>
      </c>
      <c r="AK21" s="7" t="s">
        <v>36</v>
      </c>
      <c r="AL21" s="7" t="s">
        <v>58</v>
      </c>
      <c r="AM21" s="7" t="s">
        <v>56</v>
      </c>
      <c r="AN21" s="7" t="s">
        <v>56</v>
      </c>
      <c r="AO21" s="7"/>
      <c r="AR21" s="7">
        <v>14</v>
      </c>
      <c r="AS21" s="7" t="s">
        <v>49</v>
      </c>
      <c r="AT21" s="7" t="s">
        <v>70</v>
      </c>
      <c r="AU21" s="7">
        <v>1014</v>
      </c>
      <c r="AV21" s="30">
        <f t="shared" si="2"/>
        <v>18</v>
      </c>
      <c r="AW21" s="30">
        <f t="shared" si="7"/>
        <v>5</v>
      </c>
      <c r="AX21" s="30">
        <f t="shared" si="3"/>
        <v>3</v>
      </c>
      <c r="AY21" s="31">
        <f t="shared" si="4"/>
        <v>4</v>
      </c>
      <c r="AZ21" s="31">
        <f t="shared" si="6"/>
        <v>30</v>
      </c>
      <c r="BA21" s="32">
        <f>Table1310[[#This Row],[Days]]-Table1310[[#This Row],[Absent]]</f>
        <v>25</v>
      </c>
      <c r="BB21" s="33">
        <v>5800</v>
      </c>
      <c r="BC21" s="36">
        <f>Table1310[[#This Row],[Salary]]/Table1310[[#This Row],[Days]]</f>
        <v>193.33333333333334</v>
      </c>
      <c r="BD21" s="34">
        <f>Table1310[[#This Row],[Per Day Salary]]*Table1310[[#This Row],[Absent]]</f>
        <v>966.66666666666674</v>
      </c>
      <c r="BE21" s="33">
        <f>Table1310[[#This Row],[Salary]]-Table1310[[#This Row],[Deduction ]]</f>
        <v>4833.333333333333</v>
      </c>
    </row>
    <row r="22" spans="7:60" x14ac:dyDescent="0.35">
      <c r="G22" s="7">
        <v>15</v>
      </c>
      <c r="H22" s="27" t="s">
        <v>50</v>
      </c>
      <c r="I22" s="7">
        <v>1015</v>
      </c>
      <c r="J22" s="15">
        <f t="shared" si="5"/>
        <v>4</v>
      </c>
      <c r="K22" s="7" t="s">
        <v>36</v>
      </c>
      <c r="L22" s="7" t="s">
        <v>36</v>
      </c>
      <c r="M22" s="7" t="s">
        <v>36</v>
      </c>
      <c r="N22" s="7" t="s">
        <v>36</v>
      </c>
      <c r="O22" s="7" t="s">
        <v>36</v>
      </c>
      <c r="P22" s="7" t="s">
        <v>57</v>
      </c>
      <c r="Q22" s="7" t="s">
        <v>58</v>
      </c>
      <c r="R22" s="7" t="s">
        <v>56</v>
      </c>
      <c r="S22" s="7" t="s">
        <v>56</v>
      </c>
      <c r="T22" s="7" t="s">
        <v>57</v>
      </c>
      <c r="U22" s="7" t="s">
        <v>36</v>
      </c>
      <c r="V22" s="7" t="s">
        <v>36</v>
      </c>
      <c r="W22" s="7" t="s">
        <v>36</v>
      </c>
      <c r="X22" s="7" t="s">
        <v>58</v>
      </c>
      <c r="Y22" s="7" t="s">
        <v>56</v>
      </c>
      <c r="Z22" s="7" t="s">
        <v>57</v>
      </c>
      <c r="AA22" s="7" t="s">
        <v>36</v>
      </c>
      <c r="AB22" s="7" t="s">
        <v>36</v>
      </c>
      <c r="AC22" s="7" t="s">
        <v>36</v>
      </c>
      <c r="AD22" s="7" t="s">
        <v>36</v>
      </c>
      <c r="AE22" s="7" t="s">
        <v>58</v>
      </c>
      <c r="AF22" s="7" t="s">
        <v>36</v>
      </c>
      <c r="AG22" s="7" t="s">
        <v>36</v>
      </c>
      <c r="AH22" s="7" t="s">
        <v>36</v>
      </c>
      <c r="AI22" s="7" t="s">
        <v>36</v>
      </c>
      <c r="AJ22" s="7" t="s">
        <v>36</v>
      </c>
      <c r="AK22" s="7" t="s">
        <v>36</v>
      </c>
      <c r="AL22" s="7" t="s">
        <v>58</v>
      </c>
      <c r="AM22" s="7" t="s">
        <v>56</v>
      </c>
      <c r="AN22" s="7" t="s">
        <v>56</v>
      </c>
      <c r="AO22" s="7"/>
      <c r="AR22" s="7">
        <v>15</v>
      </c>
      <c r="AS22" s="7" t="s">
        <v>50</v>
      </c>
      <c r="AT22" s="7" t="s">
        <v>70</v>
      </c>
      <c r="AU22" s="7">
        <v>1015</v>
      </c>
      <c r="AV22" s="30">
        <f t="shared" si="2"/>
        <v>18</v>
      </c>
      <c r="AW22" s="30">
        <f t="shared" si="7"/>
        <v>5</v>
      </c>
      <c r="AX22" s="30">
        <f t="shared" si="3"/>
        <v>3</v>
      </c>
      <c r="AY22" s="31">
        <f t="shared" si="4"/>
        <v>4</v>
      </c>
      <c r="AZ22" s="31">
        <f t="shared" si="6"/>
        <v>30</v>
      </c>
      <c r="BA22" s="32">
        <f>Table1310[[#This Row],[Days]]-Table1310[[#This Row],[Absent]]</f>
        <v>25</v>
      </c>
      <c r="BB22" s="33">
        <v>5900</v>
      </c>
      <c r="BC22" s="36">
        <f>Table1310[[#This Row],[Salary]]/Table1310[[#This Row],[Days]]</f>
        <v>196.66666666666666</v>
      </c>
      <c r="BD22" s="34">
        <f>Table1310[[#This Row],[Per Day Salary]]*Table1310[[#This Row],[Absent]]</f>
        <v>983.33333333333326</v>
      </c>
      <c r="BE22" s="33">
        <f>Table1310[[#This Row],[Salary]]-Table1310[[#This Row],[Deduction ]]</f>
        <v>4916.666666666667</v>
      </c>
    </row>
    <row r="23" spans="7:60" x14ac:dyDescent="0.35">
      <c r="G23" s="7">
        <v>16</v>
      </c>
      <c r="H23" s="27" t="s">
        <v>51</v>
      </c>
      <c r="I23" s="7">
        <v>1016</v>
      </c>
      <c r="J23" s="15">
        <f t="shared" si="5"/>
        <v>4</v>
      </c>
      <c r="K23" s="7" t="s">
        <v>36</v>
      </c>
      <c r="L23" s="7" t="s">
        <v>36</v>
      </c>
      <c r="M23" s="7" t="s">
        <v>36</v>
      </c>
      <c r="N23" s="7" t="s">
        <v>36</v>
      </c>
      <c r="O23" s="7" t="s">
        <v>36</v>
      </c>
      <c r="P23" s="7" t="s">
        <v>57</v>
      </c>
      <c r="Q23" s="7" t="s">
        <v>58</v>
      </c>
      <c r="R23" s="7" t="s">
        <v>56</v>
      </c>
      <c r="S23" s="7" t="s">
        <v>56</v>
      </c>
      <c r="T23" s="7" t="s">
        <v>57</v>
      </c>
      <c r="U23" s="7" t="s">
        <v>36</v>
      </c>
      <c r="V23" s="7" t="s">
        <v>36</v>
      </c>
      <c r="W23" s="7" t="s">
        <v>36</v>
      </c>
      <c r="X23" s="7" t="s">
        <v>58</v>
      </c>
      <c r="Y23" s="7" t="s">
        <v>56</v>
      </c>
      <c r="Z23" s="7" t="s">
        <v>57</v>
      </c>
      <c r="AA23" s="7" t="s">
        <v>36</v>
      </c>
      <c r="AB23" s="7" t="s">
        <v>36</v>
      </c>
      <c r="AC23" s="7" t="s">
        <v>36</v>
      </c>
      <c r="AD23" s="7" t="s">
        <v>36</v>
      </c>
      <c r="AE23" s="7" t="s">
        <v>58</v>
      </c>
      <c r="AF23" s="7" t="s">
        <v>36</v>
      </c>
      <c r="AG23" s="7" t="s">
        <v>36</v>
      </c>
      <c r="AH23" s="7" t="s">
        <v>36</v>
      </c>
      <c r="AI23" s="7" t="s">
        <v>36</v>
      </c>
      <c r="AJ23" s="7" t="s">
        <v>36</v>
      </c>
      <c r="AK23" s="7" t="s">
        <v>36</v>
      </c>
      <c r="AL23" s="7" t="s">
        <v>58</v>
      </c>
      <c r="AM23" s="7" t="s">
        <v>56</v>
      </c>
      <c r="AN23" s="7" t="s">
        <v>56</v>
      </c>
      <c r="AO23" s="7"/>
      <c r="AR23" s="7">
        <v>16</v>
      </c>
      <c r="AS23" s="7" t="s">
        <v>51</v>
      </c>
      <c r="AT23" s="7" t="s">
        <v>70</v>
      </c>
      <c r="AU23" s="7">
        <v>1016</v>
      </c>
      <c r="AV23" s="30">
        <f t="shared" si="2"/>
        <v>18</v>
      </c>
      <c r="AW23" s="30">
        <f t="shared" si="7"/>
        <v>5</v>
      </c>
      <c r="AX23" s="30">
        <f t="shared" si="3"/>
        <v>3</v>
      </c>
      <c r="AY23" s="31">
        <f t="shared" si="4"/>
        <v>4</v>
      </c>
      <c r="AZ23" s="31">
        <f t="shared" si="6"/>
        <v>30</v>
      </c>
      <c r="BA23" s="32">
        <f>Table1310[[#This Row],[Days]]-Table1310[[#This Row],[Absent]]</f>
        <v>25</v>
      </c>
      <c r="BB23" s="33">
        <v>6000</v>
      </c>
      <c r="BC23" s="36">
        <f>Table1310[[#This Row],[Salary]]/Table1310[[#This Row],[Days]]</f>
        <v>200</v>
      </c>
      <c r="BD23" s="34">
        <f>Table1310[[#This Row],[Per Day Salary]]*Table1310[[#This Row],[Absent]]</f>
        <v>1000</v>
      </c>
      <c r="BE23" s="33">
        <f>Table1310[[#This Row],[Salary]]-Table1310[[#This Row],[Deduction ]]</f>
        <v>5000</v>
      </c>
    </row>
    <row r="24" spans="7:60" x14ac:dyDescent="0.35">
      <c r="G24" s="7">
        <v>17</v>
      </c>
      <c r="H24" s="27" t="s">
        <v>52</v>
      </c>
      <c r="I24" s="7">
        <v>1017</v>
      </c>
      <c r="J24" s="15">
        <f t="shared" si="5"/>
        <v>4</v>
      </c>
      <c r="K24" s="7" t="s">
        <v>36</v>
      </c>
      <c r="L24" s="7" t="s">
        <v>36</v>
      </c>
      <c r="M24" s="7" t="s">
        <v>36</v>
      </c>
      <c r="N24" s="7" t="s">
        <v>36</v>
      </c>
      <c r="O24" s="7" t="s">
        <v>36</v>
      </c>
      <c r="P24" s="7" t="s">
        <v>57</v>
      </c>
      <c r="Q24" s="7" t="s">
        <v>58</v>
      </c>
      <c r="R24" s="7" t="s">
        <v>56</v>
      </c>
      <c r="S24" s="7" t="s">
        <v>56</v>
      </c>
      <c r="T24" s="7" t="s">
        <v>57</v>
      </c>
      <c r="U24" s="7" t="s">
        <v>36</v>
      </c>
      <c r="V24" s="7" t="s">
        <v>36</v>
      </c>
      <c r="W24" s="7" t="s">
        <v>36</v>
      </c>
      <c r="X24" s="7" t="s">
        <v>58</v>
      </c>
      <c r="Y24" s="7" t="s">
        <v>56</v>
      </c>
      <c r="Z24" s="7" t="s">
        <v>57</v>
      </c>
      <c r="AA24" s="7" t="s">
        <v>36</v>
      </c>
      <c r="AB24" s="7" t="s">
        <v>36</v>
      </c>
      <c r="AC24" s="7" t="s">
        <v>36</v>
      </c>
      <c r="AD24" s="7" t="s">
        <v>36</v>
      </c>
      <c r="AE24" s="7" t="s">
        <v>58</v>
      </c>
      <c r="AF24" s="7" t="s">
        <v>36</v>
      </c>
      <c r="AG24" s="7" t="s">
        <v>36</v>
      </c>
      <c r="AH24" s="7" t="s">
        <v>36</v>
      </c>
      <c r="AI24" s="7" t="s">
        <v>36</v>
      </c>
      <c r="AJ24" s="7" t="s">
        <v>36</v>
      </c>
      <c r="AK24" s="7" t="s">
        <v>36</v>
      </c>
      <c r="AL24" s="7" t="s">
        <v>58</v>
      </c>
      <c r="AM24" s="7" t="s">
        <v>56</v>
      </c>
      <c r="AN24" s="7" t="s">
        <v>56</v>
      </c>
      <c r="AO24" s="7"/>
      <c r="AR24" s="7">
        <v>17</v>
      </c>
      <c r="AS24" s="7" t="s">
        <v>52</v>
      </c>
      <c r="AT24" s="7" t="s">
        <v>70</v>
      </c>
      <c r="AU24" s="7">
        <v>1017</v>
      </c>
      <c r="AV24" s="30">
        <f t="shared" si="2"/>
        <v>18</v>
      </c>
      <c r="AW24" s="30">
        <f t="shared" si="7"/>
        <v>5</v>
      </c>
      <c r="AX24" s="30">
        <f t="shared" si="3"/>
        <v>3</v>
      </c>
      <c r="AY24" s="31">
        <f t="shared" si="4"/>
        <v>4</v>
      </c>
      <c r="AZ24" s="31">
        <f t="shared" si="6"/>
        <v>30</v>
      </c>
      <c r="BA24" s="1">
        <f>Table1310[[#This Row],[Days]]-Table1310[[#This Row],[Absent]]</f>
        <v>25</v>
      </c>
      <c r="BB24" s="33">
        <v>6100</v>
      </c>
      <c r="BC24" s="36">
        <f>Table1310[[#This Row],[Salary]]/Table1310[[#This Row],[Days]]</f>
        <v>203.33333333333334</v>
      </c>
      <c r="BD24" s="34">
        <f>Table1310[[#This Row],[Per Day Salary]]*Table1310[[#This Row],[Absent]]</f>
        <v>1016.6666666666667</v>
      </c>
      <c r="BE24" s="33">
        <f>Table1310[[#This Row],[Salary]]-Table1310[[#This Row],[Deduction ]]</f>
        <v>5083.333333333333</v>
      </c>
    </row>
    <row r="25" spans="7:60" x14ac:dyDescent="0.35">
      <c r="G25" s="7">
        <v>18</v>
      </c>
      <c r="H25" s="27" t="s">
        <v>53</v>
      </c>
      <c r="I25" s="7">
        <v>1018</v>
      </c>
      <c r="J25" s="15">
        <f t="shared" si="5"/>
        <v>4</v>
      </c>
      <c r="K25" s="7" t="s">
        <v>36</v>
      </c>
      <c r="L25" s="7" t="s">
        <v>36</v>
      </c>
      <c r="M25" s="7" t="s">
        <v>36</v>
      </c>
      <c r="N25" s="7" t="s">
        <v>36</v>
      </c>
      <c r="O25" s="7" t="s">
        <v>36</v>
      </c>
      <c r="P25" s="7" t="s">
        <v>57</v>
      </c>
      <c r="Q25" s="7" t="s">
        <v>58</v>
      </c>
      <c r="R25" s="7" t="s">
        <v>56</v>
      </c>
      <c r="S25" s="7" t="s">
        <v>56</v>
      </c>
      <c r="T25" s="7" t="s">
        <v>57</v>
      </c>
      <c r="U25" s="7" t="s">
        <v>36</v>
      </c>
      <c r="V25" s="7" t="s">
        <v>36</v>
      </c>
      <c r="W25" s="7" t="s">
        <v>36</v>
      </c>
      <c r="X25" s="7" t="s">
        <v>58</v>
      </c>
      <c r="Y25" s="7" t="s">
        <v>56</v>
      </c>
      <c r="Z25" s="7" t="s">
        <v>57</v>
      </c>
      <c r="AA25" s="7" t="s">
        <v>36</v>
      </c>
      <c r="AB25" s="7" t="s">
        <v>36</v>
      </c>
      <c r="AC25" s="7" t="s">
        <v>36</v>
      </c>
      <c r="AD25" s="7" t="s">
        <v>36</v>
      </c>
      <c r="AE25" s="7" t="s">
        <v>58</v>
      </c>
      <c r="AF25" s="7" t="s">
        <v>36</v>
      </c>
      <c r="AG25" s="7" t="s">
        <v>36</v>
      </c>
      <c r="AH25" s="7" t="s">
        <v>36</v>
      </c>
      <c r="AI25" s="7" t="s">
        <v>36</v>
      </c>
      <c r="AJ25" s="7" t="s">
        <v>36</v>
      </c>
      <c r="AK25" s="7" t="s">
        <v>36</v>
      </c>
      <c r="AL25" s="7" t="s">
        <v>58</v>
      </c>
      <c r="AM25" s="7" t="s">
        <v>56</v>
      </c>
      <c r="AN25" s="7" t="s">
        <v>56</v>
      </c>
      <c r="AO25" s="7"/>
      <c r="AR25" s="7">
        <v>18</v>
      </c>
      <c r="AS25" s="7" t="s">
        <v>53</v>
      </c>
      <c r="AT25" s="7" t="s">
        <v>70</v>
      </c>
      <c r="AU25" s="7">
        <v>1018</v>
      </c>
      <c r="AV25" s="30">
        <f t="shared" si="2"/>
        <v>18</v>
      </c>
      <c r="AW25" s="30">
        <f t="shared" si="7"/>
        <v>5</v>
      </c>
      <c r="AX25" s="30">
        <f t="shared" si="3"/>
        <v>3</v>
      </c>
      <c r="AY25" s="31">
        <f t="shared" si="4"/>
        <v>4</v>
      </c>
      <c r="AZ25" s="31">
        <f t="shared" si="6"/>
        <v>30</v>
      </c>
      <c r="BA25" s="32">
        <f>Table1310[[#This Row],[Days]]-Table1310[[#This Row],[Absent]]</f>
        <v>25</v>
      </c>
      <c r="BB25" s="33">
        <v>6200</v>
      </c>
      <c r="BC25" s="36">
        <f>Table1310[[#This Row],[Salary]]/Table1310[[#This Row],[Days]]</f>
        <v>206.66666666666666</v>
      </c>
      <c r="BD25" s="34">
        <f>Table1310[[#This Row],[Per Day Salary]]*Table1310[[#This Row],[Absent]]</f>
        <v>1033.3333333333333</v>
      </c>
      <c r="BE25" s="33">
        <f>Table1310[[#This Row],[Salary]]-Table1310[[#This Row],[Deduction ]]</f>
        <v>5166.666666666667</v>
      </c>
    </row>
    <row r="26" spans="7:60" x14ac:dyDescent="0.35">
      <c r="G26" s="7">
        <v>19</v>
      </c>
      <c r="H26" s="27" t="s">
        <v>54</v>
      </c>
      <c r="I26" s="7">
        <v>1019</v>
      </c>
      <c r="J26" s="15">
        <f t="shared" si="5"/>
        <v>4</v>
      </c>
      <c r="K26" s="7" t="s">
        <v>36</v>
      </c>
      <c r="L26" s="7" t="s">
        <v>36</v>
      </c>
      <c r="M26" s="7" t="s">
        <v>36</v>
      </c>
      <c r="N26" s="7" t="s">
        <v>36</v>
      </c>
      <c r="O26" s="7" t="s">
        <v>36</v>
      </c>
      <c r="P26" s="7" t="s">
        <v>57</v>
      </c>
      <c r="Q26" s="7" t="s">
        <v>58</v>
      </c>
      <c r="R26" s="7" t="s">
        <v>56</v>
      </c>
      <c r="S26" s="7" t="s">
        <v>56</v>
      </c>
      <c r="T26" s="7" t="s">
        <v>57</v>
      </c>
      <c r="U26" s="7" t="s">
        <v>36</v>
      </c>
      <c r="V26" s="7" t="s">
        <v>36</v>
      </c>
      <c r="W26" s="7" t="s">
        <v>36</v>
      </c>
      <c r="X26" s="7" t="s">
        <v>58</v>
      </c>
      <c r="Y26" s="7" t="s">
        <v>56</v>
      </c>
      <c r="Z26" s="7" t="s">
        <v>57</v>
      </c>
      <c r="AA26" s="7" t="s">
        <v>36</v>
      </c>
      <c r="AB26" s="7" t="s">
        <v>36</v>
      </c>
      <c r="AC26" s="7" t="s">
        <v>36</v>
      </c>
      <c r="AD26" s="7" t="s">
        <v>36</v>
      </c>
      <c r="AE26" s="7" t="s">
        <v>58</v>
      </c>
      <c r="AF26" s="7" t="s">
        <v>36</v>
      </c>
      <c r="AG26" s="7" t="s">
        <v>36</v>
      </c>
      <c r="AH26" s="7" t="s">
        <v>36</v>
      </c>
      <c r="AI26" s="7" t="s">
        <v>36</v>
      </c>
      <c r="AJ26" s="7" t="s">
        <v>36</v>
      </c>
      <c r="AK26" s="7" t="s">
        <v>36</v>
      </c>
      <c r="AL26" s="7" t="s">
        <v>58</v>
      </c>
      <c r="AM26" s="7" t="s">
        <v>56</v>
      </c>
      <c r="AN26" s="7" t="s">
        <v>56</v>
      </c>
      <c r="AO26" s="7"/>
      <c r="AR26" s="7">
        <v>19</v>
      </c>
      <c r="AS26" s="7" t="s">
        <v>54</v>
      </c>
      <c r="AT26" s="7" t="s">
        <v>70</v>
      </c>
      <c r="AU26" s="7">
        <v>1019</v>
      </c>
      <c r="AV26" s="30">
        <f t="shared" si="2"/>
        <v>18</v>
      </c>
      <c r="AW26" s="30">
        <f t="shared" si="7"/>
        <v>5</v>
      </c>
      <c r="AX26" s="30">
        <f t="shared" si="3"/>
        <v>3</v>
      </c>
      <c r="AY26" s="31">
        <f t="shared" si="4"/>
        <v>4</v>
      </c>
      <c r="AZ26" s="31">
        <f t="shared" si="6"/>
        <v>30</v>
      </c>
      <c r="BA26" s="1">
        <f>Table1310[[#This Row],[Days]]-Table1310[[#This Row],[Absent]]</f>
        <v>25</v>
      </c>
      <c r="BB26" s="33">
        <v>6300</v>
      </c>
      <c r="BC26" s="36">
        <f>Table1310[[#This Row],[Salary]]/Table1310[[#This Row],[Days]]</f>
        <v>210</v>
      </c>
      <c r="BD26" s="34">
        <f>Table1310[[#This Row],[Per Day Salary]]*Table1310[[#This Row],[Absent]]</f>
        <v>1050</v>
      </c>
      <c r="BE26" s="33">
        <f>Table1310[[#This Row],[Salary]]-Table1310[[#This Row],[Deduction ]]</f>
        <v>5250</v>
      </c>
    </row>
    <row r="27" spans="7:60" x14ac:dyDescent="0.35">
      <c r="G27" s="7">
        <v>20</v>
      </c>
      <c r="H27" s="27" t="s">
        <v>55</v>
      </c>
      <c r="I27" s="7">
        <v>1020</v>
      </c>
      <c r="J27" s="15">
        <f t="shared" si="5"/>
        <v>4</v>
      </c>
      <c r="K27" s="7" t="s">
        <v>36</v>
      </c>
      <c r="L27" s="7" t="s">
        <v>36</v>
      </c>
      <c r="M27" s="7" t="s">
        <v>36</v>
      </c>
      <c r="N27" s="7" t="s">
        <v>36</v>
      </c>
      <c r="O27" s="7" t="s">
        <v>36</v>
      </c>
      <c r="P27" s="7" t="s">
        <v>57</v>
      </c>
      <c r="Q27" s="7" t="s">
        <v>58</v>
      </c>
      <c r="R27" s="7" t="s">
        <v>56</v>
      </c>
      <c r="S27" s="7" t="s">
        <v>56</v>
      </c>
      <c r="T27" s="7" t="s">
        <v>57</v>
      </c>
      <c r="U27" s="7" t="s">
        <v>36</v>
      </c>
      <c r="V27" s="7" t="s">
        <v>36</v>
      </c>
      <c r="W27" s="7" t="s">
        <v>36</v>
      </c>
      <c r="X27" s="7" t="s">
        <v>58</v>
      </c>
      <c r="Y27" s="7" t="s">
        <v>56</v>
      </c>
      <c r="Z27" s="7" t="s">
        <v>57</v>
      </c>
      <c r="AA27" s="7" t="s">
        <v>36</v>
      </c>
      <c r="AB27" s="7" t="s">
        <v>36</v>
      </c>
      <c r="AC27" s="7" t="s">
        <v>36</v>
      </c>
      <c r="AD27" s="7" t="s">
        <v>36</v>
      </c>
      <c r="AE27" s="7" t="s">
        <v>58</v>
      </c>
      <c r="AF27" s="7" t="s">
        <v>36</v>
      </c>
      <c r="AG27" s="7" t="s">
        <v>36</v>
      </c>
      <c r="AH27" s="7" t="s">
        <v>36</v>
      </c>
      <c r="AI27" s="7" t="s">
        <v>36</v>
      </c>
      <c r="AJ27" s="7" t="s">
        <v>36</v>
      </c>
      <c r="AK27" s="7" t="s">
        <v>36</v>
      </c>
      <c r="AL27" s="7" t="s">
        <v>58</v>
      </c>
      <c r="AM27" s="7" t="s">
        <v>56</v>
      </c>
      <c r="AN27" s="7" t="s">
        <v>56</v>
      </c>
      <c r="AO27" s="7"/>
      <c r="AR27" s="7">
        <v>20</v>
      </c>
      <c r="AS27" s="7" t="s">
        <v>55</v>
      </c>
      <c r="AT27" s="7" t="s">
        <v>70</v>
      </c>
      <c r="AU27" s="7">
        <v>1020</v>
      </c>
      <c r="AV27" s="30">
        <f t="shared" si="2"/>
        <v>18</v>
      </c>
      <c r="AW27" s="30">
        <f t="shared" si="7"/>
        <v>5</v>
      </c>
      <c r="AX27" s="30">
        <f t="shared" si="3"/>
        <v>3</v>
      </c>
      <c r="AY27" s="31">
        <f t="shared" si="4"/>
        <v>4</v>
      </c>
      <c r="AZ27" s="31">
        <f t="shared" si="6"/>
        <v>30</v>
      </c>
      <c r="BA27" s="32">
        <f>Table1310[[#This Row],[Days]]-Table1310[[#This Row],[Absent]]</f>
        <v>25</v>
      </c>
      <c r="BB27" s="33">
        <v>6400</v>
      </c>
      <c r="BC27" s="36">
        <f>Table1310[[#This Row],[Salary]]/Table1310[[#This Row],[Days]]</f>
        <v>213.33333333333334</v>
      </c>
      <c r="BD27" s="34">
        <f>Table1310[[#This Row],[Per Day Salary]]*Table1310[[#This Row],[Absent]]</f>
        <v>1066.6666666666667</v>
      </c>
      <c r="BE27" s="33">
        <f>Table1310[[#This Row],[Salary]]-Table1310[[#This Row],[Deduction ]]</f>
        <v>5333.333333333333</v>
      </c>
    </row>
    <row r="28" spans="7:60" x14ac:dyDescent="0.35">
      <c r="L28" s="6"/>
      <c r="S28" s="6"/>
    </row>
  </sheetData>
  <mergeCells count="1">
    <mergeCell ref="G6:I6"/>
  </mergeCells>
  <phoneticPr fontId="2" type="noConversion"/>
  <conditionalFormatting sqref="F5">
    <cfRule type="containsText" dxfId="14" priority="4" operator="containsText" text="P">
      <formula>NOT(ISERROR(SEARCH("P",F5)))</formula>
    </cfRule>
  </conditionalFormatting>
  <conditionalFormatting sqref="K8:AO27">
    <cfRule type="containsText" dxfId="13" priority="1" operator="containsText" text="L">
      <formula>NOT(ISERROR(SEARCH("L",K8)))</formula>
    </cfRule>
    <cfRule type="containsText" dxfId="12" priority="2" operator="containsText" text="A">
      <formula>NOT(ISERROR(SEARCH("A",K8)))</formula>
    </cfRule>
    <cfRule type="containsText" dxfId="11" priority="3" operator="containsText" text="P">
      <formula>NOT(ISERROR(SEARCH("P",K8)))</formula>
    </cfRule>
    <cfRule type="containsText" dxfId="10" priority="5" operator="containsText" text="WO">
      <formula>NOT(ISERROR(SEARCH("WO",K8)))</formula>
    </cfRule>
  </conditionalFormatting>
  <dataValidations count="1">
    <dataValidation type="list" allowBlank="1" showInputMessage="1" showErrorMessage="1" sqref="Z8:AD27 K8:P27 AM8:AO27 AK8:AK27 T8:W27" xr:uid="{DAEA8265-4D6A-46FA-9771-193ABF7A7E75}">
      <formula1>"A,P,L"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7AF8C40-4395-4225-AE52-938209DB6C5C}">
          <x14:formula1>
            <xm:f>Sheet1!$J$2:$J$13</xm:f>
          </x14:formula1>
          <xm:sqref>G5</xm:sqref>
        </x14:dataValidation>
        <x14:dataValidation type="list" allowBlank="1" showInputMessage="1" showErrorMessage="1" xr:uid="{AD8DBB96-48DD-4374-B9D0-1DAE149B2189}">
          <x14:formula1>
            <xm:f>Sheet1!$E$2:$E$13</xm:f>
          </x14:formula1>
          <xm:sqref>I5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4319-051D-40C0-9D17-39300B3E5546}">
  <sheetPr codeName="Sheet12"/>
  <dimension ref="F4:BN28"/>
  <sheetViews>
    <sheetView showGridLines="0" zoomScale="60" zoomScaleNormal="60" workbookViewId="0">
      <selection activeCell="H13" sqref="H13"/>
    </sheetView>
  </sheetViews>
  <sheetFormatPr defaultRowHeight="14.5" x14ac:dyDescent="0.35"/>
  <cols>
    <col min="7" max="7" width="12.54296875" bestFit="1" customWidth="1"/>
    <col min="8" max="8" width="11.7265625" bestFit="1" customWidth="1"/>
    <col min="9" max="9" width="12.26953125" customWidth="1"/>
    <col min="10" max="10" width="8.453125" bestFit="1" customWidth="1"/>
    <col min="11" max="11" width="3.453125" bestFit="1" customWidth="1"/>
    <col min="12" max="12" width="3.7265625" bestFit="1" customWidth="1"/>
    <col min="13" max="13" width="5.54296875" customWidth="1"/>
    <col min="14" max="14" width="3.7265625" bestFit="1" customWidth="1"/>
    <col min="15" max="15" width="4.453125" bestFit="1" customWidth="1"/>
    <col min="16" max="16" width="3.7265625" bestFit="1" customWidth="1"/>
    <col min="17" max="17" width="2.81640625" bestFit="1" customWidth="1"/>
    <col min="18" max="18" width="3.453125" bestFit="1" customWidth="1"/>
    <col min="19" max="19" width="3.7265625" bestFit="1" customWidth="1"/>
    <col min="20" max="20" width="4.453125" bestFit="1" customWidth="1"/>
    <col min="21" max="21" width="3.7265625" bestFit="1" customWidth="1"/>
    <col min="22" max="22" width="4.453125" bestFit="1" customWidth="1"/>
    <col min="23" max="23" width="3.7265625" bestFit="1" customWidth="1"/>
    <col min="24" max="24" width="2.81640625" bestFit="1" customWidth="1"/>
    <col min="25" max="25" width="3.453125" bestFit="1" customWidth="1"/>
    <col min="26" max="26" width="3.7265625" bestFit="1" customWidth="1"/>
    <col min="27" max="27" width="4.453125" bestFit="1" customWidth="1"/>
    <col min="28" max="28" width="3.7265625" bestFit="1" customWidth="1"/>
    <col min="29" max="29" width="4.453125" bestFit="1" customWidth="1"/>
    <col min="30" max="30" width="3.7265625" bestFit="1" customWidth="1"/>
    <col min="31" max="31" width="2.81640625" bestFit="1" customWidth="1"/>
    <col min="32" max="32" width="3.453125" bestFit="1" customWidth="1"/>
    <col min="33" max="33" width="3.7265625" bestFit="1" customWidth="1"/>
    <col min="34" max="34" width="4.453125" bestFit="1" customWidth="1"/>
    <col min="35" max="35" width="3.7265625" bestFit="1" customWidth="1"/>
    <col min="36" max="36" width="4.453125" bestFit="1" customWidth="1"/>
    <col min="37" max="37" width="3.7265625" bestFit="1" customWidth="1"/>
    <col min="38" max="38" width="2.81640625" bestFit="1" customWidth="1"/>
    <col min="39" max="39" width="3.453125" bestFit="1" customWidth="1"/>
    <col min="40" max="40" width="4.1796875" bestFit="1" customWidth="1"/>
    <col min="41" max="41" width="5.08984375" customWidth="1"/>
    <col min="45" max="46" width="10.453125" customWidth="1"/>
    <col min="47" max="47" width="12.81640625" customWidth="1"/>
    <col min="48" max="48" width="9.453125" customWidth="1"/>
    <col min="49" max="49" width="8.90625" customWidth="1"/>
    <col min="51" max="51" width="10.453125" customWidth="1"/>
    <col min="53" max="53" width="10.7265625" customWidth="1"/>
    <col min="54" max="54" width="10.7265625" bestFit="1" customWidth="1"/>
    <col min="55" max="55" width="14.36328125" customWidth="1"/>
    <col min="56" max="56" width="12" customWidth="1"/>
    <col min="57" max="57" width="12.54296875" customWidth="1"/>
  </cols>
  <sheetData>
    <row r="4" spans="6:66" x14ac:dyDescent="0.35">
      <c r="F4" s="21"/>
      <c r="G4" s="21"/>
      <c r="H4" s="21"/>
      <c r="I4" s="22">
        <f>G5</f>
        <v>45962</v>
      </c>
      <c r="J4" s="21"/>
      <c r="K4" s="21"/>
      <c r="L4" s="21"/>
    </row>
    <row r="5" spans="6:66" ht="15" thickBot="1" x14ac:dyDescent="0.4">
      <c r="F5" s="21" t="s">
        <v>23</v>
      </c>
      <c r="G5" s="26">
        <v>45962</v>
      </c>
      <c r="H5" s="24">
        <f>G5</f>
        <v>45962</v>
      </c>
      <c r="I5" s="24"/>
      <c r="J5" s="21"/>
      <c r="K5" s="21"/>
      <c r="L5" s="21" t="s">
        <v>25</v>
      </c>
      <c r="M5" s="23">
        <f>EOMONTH(G5,0)</f>
        <v>45991</v>
      </c>
      <c r="O5" s="3"/>
    </row>
    <row r="6" spans="6:66" ht="16.5" thickBot="1" x14ac:dyDescent="0.45">
      <c r="G6" s="50" t="s">
        <v>27</v>
      </c>
      <c r="H6" s="51"/>
      <c r="I6" s="52"/>
      <c r="J6" s="11" t="s">
        <v>26</v>
      </c>
      <c r="K6" s="12" t="str">
        <f>TEXT(K7,"ddd")</f>
        <v>Sat</v>
      </c>
      <c r="L6" s="12" t="str">
        <f t="shared" ref="L6:AN6" si="0">TEXT(L7,"ddd")</f>
        <v>Sun</v>
      </c>
      <c r="M6" s="12" t="str">
        <f t="shared" si="0"/>
        <v>Mon</v>
      </c>
      <c r="N6" s="12" t="str">
        <f t="shared" si="0"/>
        <v>Tue</v>
      </c>
      <c r="O6" s="12" t="str">
        <f t="shared" si="0"/>
        <v>Wed</v>
      </c>
      <c r="P6" s="12" t="str">
        <f t="shared" si="0"/>
        <v>Thu</v>
      </c>
      <c r="Q6" s="12" t="str">
        <f t="shared" si="0"/>
        <v>Fri</v>
      </c>
      <c r="R6" s="12" t="str">
        <f t="shared" si="0"/>
        <v>Sat</v>
      </c>
      <c r="S6" s="12" t="str">
        <f t="shared" si="0"/>
        <v>Sun</v>
      </c>
      <c r="T6" s="12" t="str">
        <f t="shared" si="0"/>
        <v>Mon</v>
      </c>
      <c r="U6" s="12" t="str">
        <f t="shared" si="0"/>
        <v>Tue</v>
      </c>
      <c r="V6" s="12" t="str">
        <f t="shared" si="0"/>
        <v>Wed</v>
      </c>
      <c r="W6" s="12" t="str">
        <f t="shared" si="0"/>
        <v>Thu</v>
      </c>
      <c r="X6" s="12" t="str">
        <f t="shared" si="0"/>
        <v>Fri</v>
      </c>
      <c r="Y6" s="12" t="str">
        <f t="shared" si="0"/>
        <v>Sat</v>
      </c>
      <c r="Z6" s="12" t="str">
        <f t="shared" si="0"/>
        <v>Sun</v>
      </c>
      <c r="AA6" s="12" t="str">
        <f t="shared" si="0"/>
        <v>Mon</v>
      </c>
      <c r="AB6" s="12" t="str">
        <f t="shared" si="0"/>
        <v>Tue</v>
      </c>
      <c r="AC6" s="12" t="str">
        <f t="shared" si="0"/>
        <v>Wed</v>
      </c>
      <c r="AD6" s="12" t="str">
        <f t="shared" si="0"/>
        <v>Thu</v>
      </c>
      <c r="AE6" s="12" t="str">
        <f t="shared" si="0"/>
        <v>Fri</v>
      </c>
      <c r="AF6" s="12" t="str">
        <f t="shared" si="0"/>
        <v>Sat</v>
      </c>
      <c r="AG6" s="12" t="str">
        <f t="shared" si="0"/>
        <v>Sun</v>
      </c>
      <c r="AH6" s="12" t="str">
        <f t="shared" si="0"/>
        <v>Mon</v>
      </c>
      <c r="AI6" s="12" t="str">
        <f t="shared" si="0"/>
        <v>Tue</v>
      </c>
      <c r="AJ6" s="12" t="str">
        <f t="shared" si="0"/>
        <v>Wed</v>
      </c>
      <c r="AK6" s="12" t="str">
        <f t="shared" si="0"/>
        <v>Thu</v>
      </c>
      <c r="AL6" s="12" t="str">
        <f t="shared" si="0"/>
        <v>Fri</v>
      </c>
      <c r="AM6" s="13" t="str">
        <f t="shared" si="0"/>
        <v>Sat</v>
      </c>
      <c r="AN6" s="13" t="str">
        <f t="shared" si="0"/>
        <v>Sun</v>
      </c>
      <c r="AO6" s="14" t="str">
        <f>TEXT(AO7,"ddd")</f>
        <v/>
      </c>
    </row>
    <row r="7" spans="6:66" ht="14.25" customHeight="1" x14ac:dyDescent="0.35">
      <c r="G7" s="25" t="s">
        <v>0</v>
      </c>
      <c r="H7" s="25" t="s">
        <v>1</v>
      </c>
      <c r="I7" s="25" t="s">
        <v>2</v>
      </c>
      <c r="J7" s="8" t="s">
        <v>24</v>
      </c>
      <c r="K7" s="9">
        <f>G5</f>
        <v>45962</v>
      </c>
      <c r="L7" s="9">
        <f>IF(K7&lt;$M$5,1+K7,"")</f>
        <v>45963</v>
      </c>
      <c r="M7" s="9">
        <f t="shared" ref="M7:AL7" si="1">IF(L7&lt;$M$5,1+L7,"")</f>
        <v>45964</v>
      </c>
      <c r="N7" s="9">
        <f t="shared" si="1"/>
        <v>45965</v>
      </c>
      <c r="O7" s="9">
        <f t="shared" si="1"/>
        <v>45966</v>
      </c>
      <c r="P7" s="9">
        <f t="shared" si="1"/>
        <v>45967</v>
      </c>
      <c r="Q7" s="9">
        <f t="shared" si="1"/>
        <v>45968</v>
      </c>
      <c r="R7" s="9">
        <f t="shared" si="1"/>
        <v>45969</v>
      </c>
      <c r="S7" s="9">
        <f t="shared" si="1"/>
        <v>45970</v>
      </c>
      <c r="T7" s="9">
        <f t="shared" si="1"/>
        <v>45971</v>
      </c>
      <c r="U7" s="9">
        <f t="shared" si="1"/>
        <v>45972</v>
      </c>
      <c r="V7" s="9">
        <f t="shared" si="1"/>
        <v>45973</v>
      </c>
      <c r="W7" s="9">
        <f t="shared" si="1"/>
        <v>45974</v>
      </c>
      <c r="X7" s="9">
        <f t="shared" si="1"/>
        <v>45975</v>
      </c>
      <c r="Y7" s="9">
        <f t="shared" si="1"/>
        <v>45976</v>
      </c>
      <c r="Z7" s="9">
        <f t="shared" si="1"/>
        <v>45977</v>
      </c>
      <c r="AA7" s="9">
        <f>IF(Z7&lt;$M$5,1+Z7,"")</f>
        <v>45978</v>
      </c>
      <c r="AB7" s="9">
        <f t="shared" si="1"/>
        <v>45979</v>
      </c>
      <c r="AC7" s="9">
        <f t="shared" si="1"/>
        <v>45980</v>
      </c>
      <c r="AD7" s="9">
        <f t="shared" si="1"/>
        <v>45981</v>
      </c>
      <c r="AE7" s="9">
        <f t="shared" si="1"/>
        <v>45982</v>
      </c>
      <c r="AF7" s="9">
        <f t="shared" si="1"/>
        <v>45983</v>
      </c>
      <c r="AG7" s="9">
        <f t="shared" si="1"/>
        <v>45984</v>
      </c>
      <c r="AH7" s="9">
        <f t="shared" si="1"/>
        <v>45985</v>
      </c>
      <c r="AI7" s="9">
        <f t="shared" si="1"/>
        <v>45986</v>
      </c>
      <c r="AJ7" s="9">
        <f t="shared" si="1"/>
        <v>45987</v>
      </c>
      <c r="AK7" s="9">
        <f t="shared" si="1"/>
        <v>45988</v>
      </c>
      <c r="AL7" s="9">
        <f t="shared" si="1"/>
        <v>45989</v>
      </c>
      <c r="AM7" s="9">
        <f>IF(AL7&lt;$M$5,1+AL7,"")</f>
        <v>45990</v>
      </c>
      <c r="AN7" s="9">
        <f>IF(AM7&lt;$M$5,1+AM7,"")</f>
        <v>45991</v>
      </c>
      <c r="AO7" s="10" t="str">
        <f>IF(AN7&lt;$M$5,1+AN7,"")</f>
        <v/>
      </c>
      <c r="AP7" s="5"/>
      <c r="AQ7" s="5"/>
      <c r="AR7" s="18" t="s">
        <v>0</v>
      </c>
      <c r="AS7" s="18" t="s">
        <v>1</v>
      </c>
      <c r="AT7" s="18" t="s">
        <v>72</v>
      </c>
      <c r="AU7" s="18" t="s">
        <v>2</v>
      </c>
      <c r="AV7" s="17" t="s">
        <v>28</v>
      </c>
      <c r="AW7" s="17" t="s">
        <v>29</v>
      </c>
      <c r="AX7" s="17" t="s">
        <v>30</v>
      </c>
      <c r="AY7" s="17" t="s">
        <v>24</v>
      </c>
      <c r="AZ7" s="17" t="s">
        <v>26</v>
      </c>
      <c r="BA7" s="17" t="s">
        <v>31</v>
      </c>
      <c r="BB7" s="17" t="s">
        <v>32</v>
      </c>
      <c r="BC7" s="17" t="s">
        <v>33</v>
      </c>
      <c r="BD7" s="17" t="s">
        <v>34</v>
      </c>
      <c r="BE7" s="17" t="s">
        <v>35</v>
      </c>
      <c r="BF7" s="16"/>
      <c r="BG7" s="5"/>
      <c r="BH7" s="5"/>
      <c r="BI7" s="5"/>
      <c r="BJ7" s="5"/>
      <c r="BK7" s="5"/>
      <c r="BL7" s="5"/>
      <c r="BM7" s="5"/>
      <c r="BN7" s="5"/>
    </row>
    <row r="8" spans="6:66" ht="14.25" customHeight="1" x14ac:dyDescent="0.35">
      <c r="G8" s="7">
        <v>1</v>
      </c>
      <c r="H8" s="27" t="s">
        <v>37</v>
      </c>
      <c r="I8" s="7">
        <v>1001</v>
      </c>
      <c r="J8" s="15">
        <f>COUNTIF(K$6:AO$6,"Sun")</f>
        <v>5</v>
      </c>
      <c r="K8" s="7" t="s">
        <v>36</v>
      </c>
      <c r="L8" s="7" t="s">
        <v>58</v>
      </c>
      <c r="M8" s="7" t="s">
        <v>36</v>
      </c>
      <c r="N8" s="7" t="s">
        <v>36</v>
      </c>
      <c r="O8" s="7" t="s">
        <v>36</v>
      </c>
      <c r="P8" s="7" t="s">
        <v>36</v>
      </c>
      <c r="Q8" s="7" t="s">
        <v>56</v>
      </c>
      <c r="R8" s="7" t="s">
        <v>56</v>
      </c>
      <c r="S8" s="7" t="s">
        <v>58</v>
      </c>
      <c r="T8" s="7" t="s">
        <v>57</v>
      </c>
      <c r="U8" s="7" t="s">
        <v>36</v>
      </c>
      <c r="V8" s="7" t="s">
        <v>36</v>
      </c>
      <c r="W8" s="7" t="s">
        <v>36</v>
      </c>
      <c r="X8" s="7" t="s">
        <v>56</v>
      </c>
      <c r="Y8" s="7" t="s">
        <v>56</v>
      </c>
      <c r="Z8" s="7" t="s">
        <v>58</v>
      </c>
      <c r="AA8" s="7" t="s">
        <v>36</v>
      </c>
      <c r="AB8" s="7" t="s">
        <v>36</v>
      </c>
      <c r="AC8" s="7" t="s">
        <v>36</v>
      </c>
      <c r="AD8" s="7" t="s">
        <v>57</v>
      </c>
      <c r="AE8" s="7" t="s">
        <v>36</v>
      </c>
      <c r="AF8" s="7" t="s">
        <v>36</v>
      </c>
      <c r="AG8" s="7" t="s">
        <v>58</v>
      </c>
      <c r="AH8" s="7" t="s">
        <v>36</v>
      </c>
      <c r="AI8" s="7" t="s">
        <v>36</v>
      </c>
      <c r="AJ8" s="7" t="s">
        <v>36</v>
      </c>
      <c r="AK8" s="7" t="s">
        <v>57</v>
      </c>
      <c r="AL8" s="7" t="s">
        <v>36</v>
      </c>
      <c r="AM8" s="7" t="s">
        <v>56</v>
      </c>
      <c r="AN8" s="7" t="s">
        <v>58</v>
      </c>
      <c r="AO8" s="7"/>
      <c r="AP8" s="5"/>
      <c r="AQ8" s="5"/>
      <c r="AR8" s="7">
        <v>1</v>
      </c>
      <c r="AS8" s="42" t="s">
        <v>37</v>
      </c>
      <c r="AT8" s="7" t="s">
        <v>61</v>
      </c>
      <c r="AU8" s="7">
        <v>1001</v>
      </c>
      <c r="AV8" s="30">
        <f t="shared" ref="AV8:AV27" si="2">COUNTIF($K8:$AO8,"P")</f>
        <v>17</v>
      </c>
      <c r="AW8" s="30">
        <f>COUNTIF($K8:$AO8,"A")</f>
        <v>5</v>
      </c>
      <c r="AX8" s="30">
        <f t="shared" ref="AX8:AX27" si="3">COUNTIF($K8:$AO8,"L")</f>
        <v>3</v>
      </c>
      <c r="AY8" s="31">
        <f t="shared" ref="AY8:AY27" si="4">COUNTIF($K8:$AO8,"WO")</f>
        <v>5</v>
      </c>
      <c r="AZ8" s="31">
        <f>($M$5-$H$5)+1</f>
        <v>30</v>
      </c>
      <c r="BA8" s="32">
        <f>Table1312[[#This Row],[Days]]-Table1312[[#This Row],[Absent]]</f>
        <v>25</v>
      </c>
      <c r="BB8" s="33">
        <v>4500</v>
      </c>
      <c r="BC8" s="36">
        <f>Table1312[[#This Row],[Salary]]/Table1312[[#This Row],[Days]]</f>
        <v>150</v>
      </c>
      <c r="BD8" s="34">
        <f>Table1312[[#This Row],[Per Day Salary]]*Table1312[[#This Row],[Absent]]</f>
        <v>750</v>
      </c>
      <c r="BE8" s="33">
        <f>Table1312[[#This Row],[Salary]]-Table1312[[#This Row],[Deduction ]]</f>
        <v>3750</v>
      </c>
      <c r="BF8" s="5"/>
      <c r="BG8" s="5"/>
      <c r="BH8" s="5"/>
      <c r="BI8" s="5"/>
      <c r="BJ8" s="5"/>
      <c r="BK8" s="5"/>
      <c r="BL8" s="5"/>
    </row>
    <row r="9" spans="6:66" x14ac:dyDescent="0.35">
      <c r="G9" s="7">
        <v>2</v>
      </c>
      <c r="H9" s="27" t="s">
        <v>38</v>
      </c>
      <c r="I9" s="7">
        <v>1002</v>
      </c>
      <c r="J9" s="15">
        <f t="shared" ref="J9:J27" si="5">COUNTIF(K$6:AO$6,"Sun")</f>
        <v>5</v>
      </c>
      <c r="K9" s="7" t="s">
        <v>36</v>
      </c>
      <c r="L9" s="7" t="s">
        <v>58</v>
      </c>
      <c r="M9" s="7" t="s">
        <v>36</v>
      </c>
      <c r="N9" s="7" t="s">
        <v>36</v>
      </c>
      <c r="O9" s="7" t="s">
        <v>36</v>
      </c>
      <c r="P9" s="7" t="s">
        <v>36</v>
      </c>
      <c r="Q9" s="7" t="s">
        <v>56</v>
      </c>
      <c r="R9" s="7" t="s">
        <v>56</v>
      </c>
      <c r="S9" s="7" t="s">
        <v>58</v>
      </c>
      <c r="T9" s="7" t="s">
        <v>57</v>
      </c>
      <c r="U9" s="7" t="s">
        <v>36</v>
      </c>
      <c r="V9" s="7" t="s">
        <v>36</v>
      </c>
      <c r="W9" s="7" t="s">
        <v>36</v>
      </c>
      <c r="X9" s="7" t="s">
        <v>56</v>
      </c>
      <c r="Y9" s="7" t="s">
        <v>56</v>
      </c>
      <c r="Z9" s="7" t="s">
        <v>58</v>
      </c>
      <c r="AA9" s="7" t="s">
        <v>36</v>
      </c>
      <c r="AB9" s="7" t="s">
        <v>36</v>
      </c>
      <c r="AC9" s="7" t="s">
        <v>36</v>
      </c>
      <c r="AD9" s="7" t="s">
        <v>57</v>
      </c>
      <c r="AE9" s="7" t="s">
        <v>36</v>
      </c>
      <c r="AF9" s="7" t="s">
        <v>36</v>
      </c>
      <c r="AG9" s="7" t="s">
        <v>58</v>
      </c>
      <c r="AH9" s="7" t="s">
        <v>36</v>
      </c>
      <c r="AI9" s="7" t="s">
        <v>36</v>
      </c>
      <c r="AJ9" s="7" t="s">
        <v>36</v>
      </c>
      <c r="AK9" s="7" t="s">
        <v>57</v>
      </c>
      <c r="AL9" s="7" t="s">
        <v>36</v>
      </c>
      <c r="AM9" s="7" t="s">
        <v>56</v>
      </c>
      <c r="AN9" s="7" t="s">
        <v>58</v>
      </c>
      <c r="AO9" s="7"/>
      <c r="AP9" s="5"/>
      <c r="AQ9" s="5"/>
      <c r="AR9" s="7">
        <v>2</v>
      </c>
      <c r="AS9" s="6" t="s">
        <v>38</v>
      </c>
      <c r="AT9" s="7" t="s">
        <v>61</v>
      </c>
      <c r="AU9" s="7">
        <v>1002</v>
      </c>
      <c r="AV9" s="30">
        <f t="shared" si="2"/>
        <v>17</v>
      </c>
      <c r="AW9" s="30">
        <f>COUNTIF($K9:$AO9,"A")</f>
        <v>5</v>
      </c>
      <c r="AX9" s="35">
        <f t="shared" si="3"/>
        <v>3</v>
      </c>
      <c r="AY9" s="31">
        <f t="shared" si="4"/>
        <v>5</v>
      </c>
      <c r="AZ9" s="31">
        <f t="shared" ref="AZ9:AZ27" si="6">($M$5-$H$5)+1</f>
        <v>30</v>
      </c>
      <c r="BA9" s="32">
        <f>Table1312[[#This Row],[Days]]-Table1312[[#This Row],[Absent]]</f>
        <v>25</v>
      </c>
      <c r="BB9" s="33">
        <v>4600</v>
      </c>
      <c r="BC9" s="36">
        <f>Table1312[[#This Row],[Salary]]/Table1312[[#This Row],[Days]]</f>
        <v>153.33333333333334</v>
      </c>
      <c r="BD9" s="34">
        <f>Table1312[[#This Row],[Per Day Salary]]*Table1312[[#This Row],[Absent]]</f>
        <v>766.66666666666674</v>
      </c>
      <c r="BE9" s="33">
        <f>Table1312[[#This Row],[Salary]]-Table1312[[#This Row],[Deduction ]]</f>
        <v>3833.333333333333</v>
      </c>
      <c r="BF9" s="5"/>
      <c r="BG9" s="5"/>
      <c r="BH9" s="5"/>
      <c r="BI9" s="5"/>
      <c r="BJ9" s="5"/>
      <c r="BK9" s="5"/>
      <c r="BL9" s="5"/>
    </row>
    <row r="10" spans="6:66" x14ac:dyDescent="0.35">
      <c r="G10" s="7">
        <v>3</v>
      </c>
      <c r="H10" s="27" t="s">
        <v>39</v>
      </c>
      <c r="I10" s="7">
        <v>1003</v>
      </c>
      <c r="J10" s="15">
        <f t="shared" si="5"/>
        <v>5</v>
      </c>
      <c r="K10" s="7" t="s">
        <v>36</v>
      </c>
      <c r="L10" s="7" t="s">
        <v>58</v>
      </c>
      <c r="M10" s="7" t="s">
        <v>36</v>
      </c>
      <c r="N10" s="7" t="s">
        <v>36</v>
      </c>
      <c r="O10" s="7" t="s">
        <v>36</v>
      </c>
      <c r="P10" s="7" t="s">
        <v>36</v>
      </c>
      <c r="Q10" s="7" t="s">
        <v>56</v>
      </c>
      <c r="R10" s="7" t="s">
        <v>56</v>
      </c>
      <c r="S10" s="7" t="s">
        <v>58</v>
      </c>
      <c r="T10" s="7" t="s">
        <v>57</v>
      </c>
      <c r="U10" s="7" t="s">
        <v>36</v>
      </c>
      <c r="V10" s="7" t="s">
        <v>36</v>
      </c>
      <c r="W10" s="7" t="s">
        <v>36</v>
      </c>
      <c r="X10" s="7" t="s">
        <v>56</v>
      </c>
      <c r="Y10" s="7" t="s">
        <v>56</v>
      </c>
      <c r="Z10" s="7" t="s">
        <v>58</v>
      </c>
      <c r="AA10" s="7" t="s">
        <v>36</v>
      </c>
      <c r="AB10" s="7" t="s">
        <v>36</v>
      </c>
      <c r="AC10" s="7" t="s">
        <v>36</v>
      </c>
      <c r="AD10" s="7" t="s">
        <v>57</v>
      </c>
      <c r="AE10" s="7" t="s">
        <v>36</v>
      </c>
      <c r="AF10" s="7" t="s">
        <v>36</v>
      </c>
      <c r="AG10" s="7" t="s">
        <v>58</v>
      </c>
      <c r="AH10" s="7" t="s">
        <v>36</v>
      </c>
      <c r="AI10" s="7" t="s">
        <v>36</v>
      </c>
      <c r="AJ10" s="7" t="s">
        <v>36</v>
      </c>
      <c r="AK10" s="7" t="s">
        <v>57</v>
      </c>
      <c r="AL10" s="7" t="s">
        <v>36</v>
      </c>
      <c r="AM10" s="7" t="s">
        <v>56</v>
      </c>
      <c r="AN10" s="7" t="s">
        <v>58</v>
      </c>
      <c r="AO10" s="7"/>
      <c r="AP10" s="5"/>
      <c r="AQ10" s="5"/>
      <c r="AR10" s="7">
        <v>3</v>
      </c>
      <c r="AS10" s="42" t="s">
        <v>39</v>
      </c>
      <c r="AT10" s="7" t="s">
        <v>61</v>
      </c>
      <c r="AU10" s="7">
        <v>1003</v>
      </c>
      <c r="AV10" s="30">
        <f t="shared" si="2"/>
        <v>17</v>
      </c>
      <c r="AW10" s="30">
        <f t="shared" ref="AW10:AW27" si="7">COUNTIF($K10:$AO10,"A")</f>
        <v>5</v>
      </c>
      <c r="AX10" s="30">
        <f t="shared" si="3"/>
        <v>3</v>
      </c>
      <c r="AY10" s="31">
        <f t="shared" si="4"/>
        <v>5</v>
      </c>
      <c r="AZ10" s="31">
        <f t="shared" si="6"/>
        <v>30</v>
      </c>
      <c r="BA10" s="32">
        <f>Table1312[[#This Row],[Days]]-Table1312[[#This Row],[Absent]]</f>
        <v>25</v>
      </c>
      <c r="BB10" s="33">
        <v>4700</v>
      </c>
      <c r="BC10" s="36">
        <f>Table1312[[#This Row],[Salary]]/Table1312[[#This Row],[Days]]</f>
        <v>156.66666666666666</v>
      </c>
      <c r="BD10" s="34">
        <f>Table1312[[#This Row],[Per Day Salary]]*Table1312[[#This Row],[Absent]]</f>
        <v>783.33333333333326</v>
      </c>
      <c r="BE10" s="33">
        <f>Table1312[[#This Row],[Salary]]-Table1312[[#This Row],[Deduction ]]</f>
        <v>3916.666666666667</v>
      </c>
      <c r="BF10" s="5"/>
      <c r="BG10" s="5"/>
      <c r="BH10" s="5"/>
      <c r="BI10" s="5"/>
      <c r="BJ10" s="5"/>
      <c r="BK10" s="5"/>
      <c r="BL10" s="5"/>
    </row>
    <row r="11" spans="6:66" x14ac:dyDescent="0.35">
      <c r="G11" s="7">
        <v>4</v>
      </c>
      <c r="H11" s="27" t="s">
        <v>59</v>
      </c>
      <c r="I11" s="7">
        <v>1004</v>
      </c>
      <c r="J11" s="15">
        <f t="shared" si="5"/>
        <v>5</v>
      </c>
      <c r="K11" s="7" t="s">
        <v>36</v>
      </c>
      <c r="L11" s="7" t="s">
        <v>58</v>
      </c>
      <c r="M11" s="7" t="s">
        <v>36</v>
      </c>
      <c r="N11" s="7" t="s">
        <v>36</v>
      </c>
      <c r="O11" s="7" t="s">
        <v>36</v>
      </c>
      <c r="P11" s="7" t="s">
        <v>36</v>
      </c>
      <c r="Q11" s="7" t="s">
        <v>56</v>
      </c>
      <c r="R11" s="7" t="s">
        <v>56</v>
      </c>
      <c r="S11" s="7" t="s">
        <v>58</v>
      </c>
      <c r="T11" s="7" t="s">
        <v>57</v>
      </c>
      <c r="U11" s="7" t="s">
        <v>36</v>
      </c>
      <c r="V11" s="7" t="s">
        <v>36</v>
      </c>
      <c r="W11" s="7" t="s">
        <v>36</v>
      </c>
      <c r="X11" s="7" t="s">
        <v>56</v>
      </c>
      <c r="Y11" s="7" t="s">
        <v>56</v>
      </c>
      <c r="Z11" s="7" t="s">
        <v>58</v>
      </c>
      <c r="AA11" s="7" t="s">
        <v>36</v>
      </c>
      <c r="AB11" s="7" t="s">
        <v>36</v>
      </c>
      <c r="AC11" s="7" t="s">
        <v>36</v>
      </c>
      <c r="AD11" s="7" t="s">
        <v>57</v>
      </c>
      <c r="AE11" s="7" t="s">
        <v>36</v>
      </c>
      <c r="AF11" s="7" t="s">
        <v>36</v>
      </c>
      <c r="AG11" s="7" t="s">
        <v>58</v>
      </c>
      <c r="AH11" s="7" t="s">
        <v>36</v>
      </c>
      <c r="AI11" s="7" t="s">
        <v>36</v>
      </c>
      <c r="AJ11" s="7" t="s">
        <v>36</v>
      </c>
      <c r="AK11" s="7" t="s">
        <v>57</v>
      </c>
      <c r="AL11" s="7" t="s">
        <v>36</v>
      </c>
      <c r="AM11" s="7" t="s">
        <v>56</v>
      </c>
      <c r="AN11" s="7" t="s">
        <v>58</v>
      </c>
      <c r="AO11" s="7"/>
      <c r="AP11" s="5"/>
      <c r="AQ11" s="5"/>
      <c r="AR11" s="7">
        <v>4</v>
      </c>
      <c r="AS11" s="42" t="s">
        <v>59</v>
      </c>
      <c r="AT11" s="7" t="s">
        <v>61</v>
      </c>
      <c r="AU11" s="7">
        <v>1004</v>
      </c>
      <c r="AV11" s="30">
        <f t="shared" si="2"/>
        <v>17</v>
      </c>
      <c r="AW11" s="30">
        <f t="shared" si="7"/>
        <v>5</v>
      </c>
      <c r="AX11" s="30">
        <f t="shared" si="3"/>
        <v>3</v>
      </c>
      <c r="AY11" s="31">
        <f t="shared" si="4"/>
        <v>5</v>
      </c>
      <c r="AZ11" s="31">
        <f t="shared" si="6"/>
        <v>30</v>
      </c>
      <c r="BA11" s="32">
        <f>Table1312[[#This Row],[Days]]-Table1312[[#This Row],[Absent]]</f>
        <v>25</v>
      </c>
      <c r="BB11" s="33">
        <v>4800</v>
      </c>
      <c r="BC11" s="36">
        <f>Table1312[[#This Row],[Salary]]/Table1312[[#This Row],[Days]]</f>
        <v>160</v>
      </c>
      <c r="BD11" s="34">
        <f>Table1312[[#This Row],[Per Day Salary]]*Table1312[[#This Row],[Absent]]</f>
        <v>800</v>
      </c>
      <c r="BE11" s="33">
        <f>Table1312[[#This Row],[Salary]]-Table1312[[#This Row],[Deduction ]]</f>
        <v>4000</v>
      </c>
      <c r="BF11" s="5"/>
      <c r="BG11" s="5"/>
      <c r="BH11" s="5"/>
      <c r="BI11" s="5"/>
      <c r="BJ11" s="5"/>
      <c r="BK11" s="5"/>
      <c r="BL11" s="5"/>
    </row>
    <row r="12" spans="6:66" x14ac:dyDescent="0.35">
      <c r="G12" s="7">
        <v>5</v>
      </c>
      <c r="H12" s="27" t="s">
        <v>40</v>
      </c>
      <c r="I12" s="7">
        <v>1005</v>
      </c>
      <c r="J12" s="15">
        <f t="shared" si="5"/>
        <v>5</v>
      </c>
      <c r="K12" s="7" t="s">
        <v>36</v>
      </c>
      <c r="L12" s="7" t="s">
        <v>58</v>
      </c>
      <c r="M12" s="7" t="s">
        <v>36</v>
      </c>
      <c r="N12" s="7" t="s">
        <v>36</v>
      </c>
      <c r="O12" s="7" t="s">
        <v>36</v>
      </c>
      <c r="P12" s="7" t="s">
        <v>36</v>
      </c>
      <c r="Q12" s="7" t="s">
        <v>56</v>
      </c>
      <c r="R12" s="7" t="s">
        <v>56</v>
      </c>
      <c r="S12" s="7" t="s">
        <v>58</v>
      </c>
      <c r="T12" s="7" t="s">
        <v>57</v>
      </c>
      <c r="U12" s="7" t="s">
        <v>36</v>
      </c>
      <c r="V12" s="7" t="s">
        <v>36</v>
      </c>
      <c r="W12" s="7" t="s">
        <v>36</v>
      </c>
      <c r="X12" s="7" t="s">
        <v>56</v>
      </c>
      <c r="Y12" s="7" t="s">
        <v>56</v>
      </c>
      <c r="Z12" s="7" t="s">
        <v>58</v>
      </c>
      <c r="AA12" s="7" t="s">
        <v>36</v>
      </c>
      <c r="AB12" s="7" t="s">
        <v>36</v>
      </c>
      <c r="AC12" s="7" t="s">
        <v>36</v>
      </c>
      <c r="AD12" s="7" t="s">
        <v>57</v>
      </c>
      <c r="AE12" s="7" t="s">
        <v>36</v>
      </c>
      <c r="AF12" s="7" t="s">
        <v>36</v>
      </c>
      <c r="AG12" s="7" t="s">
        <v>58</v>
      </c>
      <c r="AH12" s="7" t="s">
        <v>36</v>
      </c>
      <c r="AI12" s="7" t="s">
        <v>36</v>
      </c>
      <c r="AJ12" s="7" t="s">
        <v>36</v>
      </c>
      <c r="AK12" s="7" t="s">
        <v>57</v>
      </c>
      <c r="AL12" s="7" t="s">
        <v>36</v>
      </c>
      <c r="AM12" s="7" t="s">
        <v>56</v>
      </c>
      <c r="AN12" s="7" t="s">
        <v>58</v>
      </c>
      <c r="AO12" s="7"/>
      <c r="AP12" s="5"/>
      <c r="AQ12" s="5"/>
      <c r="AR12" s="7">
        <v>5</v>
      </c>
      <c r="AS12" s="42" t="s">
        <v>40</v>
      </c>
      <c r="AT12" s="7" t="s">
        <v>61</v>
      </c>
      <c r="AU12" s="7">
        <v>1005</v>
      </c>
      <c r="AV12" s="30">
        <f t="shared" si="2"/>
        <v>17</v>
      </c>
      <c r="AW12" s="30">
        <f t="shared" si="7"/>
        <v>5</v>
      </c>
      <c r="AX12" s="30">
        <f t="shared" si="3"/>
        <v>3</v>
      </c>
      <c r="AY12" s="31">
        <f t="shared" si="4"/>
        <v>5</v>
      </c>
      <c r="AZ12" s="31">
        <f t="shared" si="6"/>
        <v>30</v>
      </c>
      <c r="BA12" s="32">
        <f>Table1312[[#This Row],[Days]]-Table1312[[#This Row],[Absent]]</f>
        <v>25</v>
      </c>
      <c r="BB12" s="33">
        <v>4900</v>
      </c>
      <c r="BC12" s="36">
        <f>Table1312[[#This Row],[Salary]]/Table1312[[#This Row],[Days]]</f>
        <v>163.33333333333334</v>
      </c>
      <c r="BD12" s="34">
        <f>Table1312[[#This Row],[Per Day Salary]]*Table1312[[#This Row],[Absent]]</f>
        <v>816.66666666666674</v>
      </c>
      <c r="BE12" s="33">
        <f>Table1312[[#This Row],[Salary]]-Table1312[[#This Row],[Deduction ]]</f>
        <v>4083.333333333333</v>
      </c>
      <c r="BF12" s="5"/>
      <c r="BG12" s="5"/>
      <c r="BH12" s="5"/>
      <c r="BI12" s="5"/>
      <c r="BJ12" s="5"/>
      <c r="BK12" s="5"/>
      <c r="BL12" s="5"/>
    </row>
    <row r="13" spans="6:66" x14ac:dyDescent="0.35">
      <c r="G13" s="7">
        <v>6</v>
      </c>
      <c r="H13" s="27" t="s">
        <v>41</v>
      </c>
      <c r="I13" s="7">
        <v>1006</v>
      </c>
      <c r="J13" s="15">
        <f t="shared" si="5"/>
        <v>5</v>
      </c>
      <c r="K13" s="7" t="s">
        <v>36</v>
      </c>
      <c r="L13" s="7" t="s">
        <v>58</v>
      </c>
      <c r="M13" s="7" t="s">
        <v>36</v>
      </c>
      <c r="N13" s="7" t="s">
        <v>36</v>
      </c>
      <c r="O13" s="7" t="s">
        <v>36</v>
      </c>
      <c r="P13" s="7" t="s">
        <v>36</v>
      </c>
      <c r="Q13" s="7" t="s">
        <v>56</v>
      </c>
      <c r="R13" s="7" t="s">
        <v>56</v>
      </c>
      <c r="S13" s="7" t="s">
        <v>58</v>
      </c>
      <c r="T13" s="7" t="s">
        <v>57</v>
      </c>
      <c r="U13" s="7" t="s">
        <v>36</v>
      </c>
      <c r="V13" s="7" t="s">
        <v>36</v>
      </c>
      <c r="W13" s="7" t="s">
        <v>36</v>
      </c>
      <c r="X13" s="7" t="s">
        <v>56</v>
      </c>
      <c r="Y13" s="7" t="s">
        <v>56</v>
      </c>
      <c r="Z13" s="7" t="s">
        <v>58</v>
      </c>
      <c r="AA13" s="7" t="s">
        <v>36</v>
      </c>
      <c r="AB13" s="7" t="s">
        <v>36</v>
      </c>
      <c r="AC13" s="7" t="s">
        <v>36</v>
      </c>
      <c r="AD13" s="7" t="s">
        <v>57</v>
      </c>
      <c r="AE13" s="7" t="s">
        <v>36</v>
      </c>
      <c r="AF13" s="7" t="s">
        <v>36</v>
      </c>
      <c r="AG13" s="7" t="s">
        <v>58</v>
      </c>
      <c r="AH13" s="7" t="s">
        <v>36</v>
      </c>
      <c r="AI13" s="7" t="s">
        <v>36</v>
      </c>
      <c r="AJ13" s="7" t="s">
        <v>36</v>
      </c>
      <c r="AK13" s="7" t="s">
        <v>57</v>
      </c>
      <c r="AL13" s="7" t="s">
        <v>36</v>
      </c>
      <c r="AM13" s="7" t="s">
        <v>56</v>
      </c>
      <c r="AN13" s="7" t="s">
        <v>58</v>
      </c>
      <c r="AO13" s="7"/>
      <c r="AP13" s="5"/>
      <c r="AQ13" s="5"/>
      <c r="AR13" s="7">
        <v>6</v>
      </c>
      <c r="AS13" s="42" t="s">
        <v>41</v>
      </c>
      <c r="AT13" s="7" t="s">
        <v>61</v>
      </c>
      <c r="AU13" s="7">
        <v>1006</v>
      </c>
      <c r="AV13" s="30">
        <f t="shared" si="2"/>
        <v>17</v>
      </c>
      <c r="AW13" s="30">
        <f t="shared" si="7"/>
        <v>5</v>
      </c>
      <c r="AX13" s="30">
        <f t="shared" si="3"/>
        <v>3</v>
      </c>
      <c r="AY13" s="31">
        <f t="shared" si="4"/>
        <v>5</v>
      </c>
      <c r="AZ13" s="31">
        <f t="shared" si="6"/>
        <v>30</v>
      </c>
      <c r="BA13" s="32">
        <f>Table1312[[#This Row],[Days]]-Table1312[[#This Row],[Absent]]</f>
        <v>25</v>
      </c>
      <c r="BB13" s="33">
        <v>5000</v>
      </c>
      <c r="BC13" s="36">
        <f>Table1312[[#This Row],[Salary]]/Table1312[[#This Row],[Days]]</f>
        <v>166.66666666666666</v>
      </c>
      <c r="BD13" s="34">
        <f>Table1312[[#This Row],[Per Day Salary]]*Table1312[[#This Row],[Absent]]</f>
        <v>833.33333333333326</v>
      </c>
      <c r="BE13" s="33">
        <f>Table1312[[#This Row],[Salary]]-Table1312[[#This Row],[Deduction ]]</f>
        <v>4166.666666666667</v>
      </c>
      <c r="BF13" s="5"/>
      <c r="BG13" s="5"/>
      <c r="BH13" s="5"/>
      <c r="BI13" s="5"/>
      <c r="BJ13" s="5"/>
      <c r="BK13" s="5"/>
      <c r="BL13" s="5"/>
    </row>
    <row r="14" spans="6:66" x14ac:dyDescent="0.35">
      <c r="G14" s="7">
        <v>7</v>
      </c>
      <c r="H14" s="27" t="s">
        <v>42</v>
      </c>
      <c r="I14" s="7">
        <v>1007</v>
      </c>
      <c r="J14" s="15">
        <f t="shared" si="5"/>
        <v>5</v>
      </c>
      <c r="K14" s="7" t="s">
        <v>36</v>
      </c>
      <c r="L14" s="7" t="s">
        <v>58</v>
      </c>
      <c r="M14" s="7" t="s">
        <v>36</v>
      </c>
      <c r="N14" s="7" t="s">
        <v>36</v>
      </c>
      <c r="O14" s="7" t="s">
        <v>36</v>
      </c>
      <c r="P14" s="7" t="s">
        <v>36</v>
      </c>
      <c r="Q14" s="7" t="s">
        <v>56</v>
      </c>
      <c r="R14" s="7" t="s">
        <v>56</v>
      </c>
      <c r="S14" s="7" t="s">
        <v>58</v>
      </c>
      <c r="T14" s="7" t="s">
        <v>57</v>
      </c>
      <c r="U14" s="7" t="s">
        <v>36</v>
      </c>
      <c r="V14" s="7" t="s">
        <v>36</v>
      </c>
      <c r="W14" s="7" t="s">
        <v>36</v>
      </c>
      <c r="X14" s="7" t="s">
        <v>56</v>
      </c>
      <c r="Y14" s="7" t="s">
        <v>56</v>
      </c>
      <c r="Z14" s="7" t="s">
        <v>58</v>
      </c>
      <c r="AA14" s="7" t="s">
        <v>36</v>
      </c>
      <c r="AB14" s="7" t="s">
        <v>36</v>
      </c>
      <c r="AC14" s="7" t="s">
        <v>36</v>
      </c>
      <c r="AD14" s="7" t="s">
        <v>57</v>
      </c>
      <c r="AE14" s="7" t="s">
        <v>36</v>
      </c>
      <c r="AF14" s="7" t="s">
        <v>36</v>
      </c>
      <c r="AG14" s="7" t="s">
        <v>58</v>
      </c>
      <c r="AH14" s="7" t="s">
        <v>36</v>
      </c>
      <c r="AI14" s="7" t="s">
        <v>36</v>
      </c>
      <c r="AJ14" s="7" t="s">
        <v>36</v>
      </c>
      <c r="AK14" s="7" t="s">
        <v>57</v>
      </c>
      <c r="AL14" s="7" t="s">
        <v>36</v>
      </c>
      <c r="AM14" s="7" t="s">
        <v>56</v>
      </c>
      <c r="AN14" s="7" t="s">
        <v>58</v>
      </c>
      <c r="AO14" s="7"/>
      <c r="AR14" s="7">
        <v>7</v>
      </c>
      <c r="AS14" s="42" t="s">
        <v>42</v>
      </c>
      <c r="AT14" s="7" t="s">
        <v>61</v>
      </c>
      <c r="AU14" s="7">
        <v>1007</v>
      </c>
      <c r="AV14" s="30">
        <f t="shared" si="2"/>
        <v>17</v>
      </c>
      <c r="AW14" s="30">
        <f t="shared" si="7"/>
        <v>5</v>
      </c>
      <c r="AX14" s="30">
        <f t="shared" si="3"/>
        <v>3</v>
      </c>
      <c r="AY14" s="31">
        <f t="shared" si="4"/>
        <v>5</v>
      </c>
      <c r="AZ14" s="31">
        <f t="shared" si="6"/>
        <v>30</v>
      </c>
      <c r="BA14" s="32">
        <f>Table1312[[#This Row],[Days]]-Table1312[[#This Row],[Absent]]</f>
        <v>25</v>
      </c>
      <c r="BB14" s="33">
        <v>5100</v>
      </c>
      <c r="BC14" s="36">
        <f>Table1312[[#This Row],[Salary]]/Table1312[[#This Row],[Days]]</f>
        <v>170</v>
      </c>
      <c r="BD14" s="34">
        <f>Table1312[[#This Row],[Per Day Salary]]*Table1312[[#This Row],[Absent]]</f>
        <v>850</v>
      </c>
      <c r="BE14" s="33">
        <f>Table1312[[#This Row],[Salary]]-Table1312[[#This Row],[Deduction ]]</f>
        <v>4250</v>
      </c>
    </row>
    <row r="15" spans="6:66" x14ac:dyDescent="0.35">
      <c r="G15" s="7">
        <v>8</v>
      </c>
      <c r="H15" s="27" t="s">
        <v>43</v>
      </c>
      <c r="I15" s="7">
        <v>1008</v>
      </c>
      <c r="J15" s="15">
        <f t="shared" si="5"/>
        <v>5</v>
      </c>
      <c r="K15" s="7" t="s">
        <v>36</v>
      </c>
      <c r="L15" s="7" t="s">
        <v>58</v>
      </c>
      <c r="M15" s="7" t="s">
        <v>36</v>
      </c>
      <c r="N15" s="7" t="s">
        <v>36</v>
      </c>
      <c r="O15" s="7" t="s">
        <v>36</v>
      </c>
      <c r="P15" s="7" t="s">
        <v>36</v>
      </c>
      <c r="Q15" s="7" t="s">
        <v>56</v>
      </c>
      <c r="R15" s="7" t="s">
        <v>56</v>
      </c>
      <c r="S15" s="7" t="s">
        <v>58</v>
      </c>
      <c r="T15" s="7" t="s">
        <v>57</v>
      </c>
      <c r="U15" s="7" t="s">
        <v>36</v>
      </c>
      <c r="V15" s="7" t="s">
        <v>36</v>
      </c>
      <c r="W15" s="7" t="s">
        <v>36</v>
      </c>
      <c r="X15" s="7" t="s">
        <v>56</v>
      </c>
      <c r="Y15" s="7" t="s">
        <v>56</v>
      </c>
      <c r="Z15" s="7" t="s">
        <v>58</v>
      </c>
      <c r="AA15" s="7" t="s">
        <v>36</v>
      </c>
      <c r="AB15" s="7" t="s">
        <v>36</v>
      </c>
      <c r="AC15" s="7" t="s">
        <v>36</v>
      </c>
      <c r="AD15" s="7" t="s">
        <v>57</v>
      </c>
      <c r="AE15" s="7" t="s">
        <v>36</v>
      </c>
      <c r="AF15" s="7" t="s">
        <v>36</v>
      </c>
      <c r="AG15" s="7" t="s">
        <v>58</v>
      </c>
      <c r="AH15" s="7" t="s">
        <v>36</v>
      </c>
      <c r="AI15" s="7" t="s">
        <v>36</v>
      </c>
      <c r="AJ15" s="7" t="s">
        <v>36</v>
      </c>
      <c r="AK15" s="7" t="s">
        <v>57</v>
      </c>
      <c r="AL15" s="7" t="s">
        <v>36</v>
      </c>
      <c r="AM15" s="7" t="s">
        <v>56</v>
      </c>
      <c r="AN15" s="7" t="s">
        <v>58</v>
      </c>
      <c r="AO15" s="7"/>
      <c r="AR15" s="7">
        <v>8</v>
      </c>
      <c r="AS15" s="42" t="s">
        <v>43</v>
      </c>
      <c r="AT15" s="7" t="s">
        <v>61</v>
      </c>
      <c r="AU15" s="7">
        <v>1008</v>
      </c>
      <c r="AV15" s="30">
        <f t="shared" si="2"/>
        <v>17</v>
      </c>
      <c r="AW15" s="30">
        <f t="shared" si="7"/>
        <v>5</v>
      </c>
      <c r="AX15" s="30">
        <f t="shared" si="3"/>
        <v>3</v>
      </c>
      <c r="AY15" s="31">
        <f t="shared" si="4"/>
        <v>5</v>
      </c>
      <c r="AZ15" s="31">
        <f t="shared" si="6"/>
        <v>30</v>
      </c>
      <c r="BA15" s="32">
        <f>Table1312[[#This Row],[Days]]-Table1312[[#This Row],[Absent]]</f>
        <v>25</v>
      </c>
      <c r="BB15" s="33">
        <v>5200</v>
      </c>
      <c r="BC15" s="36">
        <f>Table1312[[#This Row],[Salary]]/Table1312[[#This Row],[Days]]</f>
        <v>173.33333333333334</v>
      </c>
      <c r="BD15" s="34">
        <f>Table1312[[#This Row],[Per Day Salary]]*Table1312[[#This Row],[Absent]]</f>
        <v>866.66666666666674</v>
      </c>
      <c r="BE15" s="33">
        <f>Table1312[[#This Row],[Salary]]-Table1312[[#This Row],[Deduction ]]</f>
        <v>4333.333333333333</v>
      </c>
    </row>
    <row r="16" spans="6:66" ht="15" thickBot="1" x14ac:dyDescent="0.4">
      <c r="G16" s="7">
        <v>9</v>
      </c>
      <c r="H16" s="27" t="s">
        <v>44</v>
      </c>
      <c r="I16" s="7">
        <v>1009</v>
      </c>
      <c r="J16" s="15">
        <f t="shared" si="5"/>
        <v>5</v>
      </c>
      <c r="K16" s="7" t="s">
        <v>36</v>
      </c>
      <c r="L16" s="7" t="s">
        <v>58</v>
      </c>
      <c r="M16" s="7" t="s">
        <v>36</v>
      </c>
      <c r="N16" s="7" t="s">
        <v>36</v>
      </c>
      <c r="O16" s="7" t="s">
        <v>36</v>
      </c>
      <c r="P16" s="7" t="s">
        <v>36</v>
      </c>
      <c r="Q16" s="7" t="s">
        <v>56</v>
      </c>
      <c r="R16" s="7" t="s">
        <v>56</v>
      </c>
      <c r="S16" s="7" t="s">
        <v>58</v>
      </c>
      <c r="T16" s="7" t="s">
        <v>57</v>
      </c>
      <c r="U16" s="7" t="s">
        <v>36</v>
      </c>
      <c r="V16" s="7" t="s">
        <v>36</v>
      </c>
      <c r="W16" s="7" t="s">
        <v>36</v>
      </c>
      <c r="X16" s="7" t="s">
        <v>56</v>
      </c>
      <c r="Y16" s="7" t="s">
        <v>56</v>
      </c>
      <c r="Z16" s="7" t="s">
        <v>58</v>
      </c>
      <c r="AA16" s="7" t="s">
        <v>36</v>
      </c>
      <c r="AB16" s="7" t="s">
        <v>36</v>
      </c>
      <c r="AC16" s="7" t="s">
        <v>36</v>
      </c>
      <c r="AD16" s="7" t="s">
        <v>57</v>
      </c>
      <c r="AE16" s="7" t="s">
        <v>36</v>
      </c>
      <c r="AF16" s="7" t="s">
        <v>36</v>
      </c>
      <c r="AG16" s="7" t="s">
        <v>58</v>
      </c>
      <c r="AH16" s="7" t="s">
        <v>36</v>
      </c>
      <c r="AI16" s="7" t="s">
        <v>36</v>
      </c>
      <c r="AJ16" s="7" t="s">
        <v>36</v>
      </c>
      <c r="AK16" s="7" t="s">
        <v>57</v>
      </c>
      <c r="AL16" s="7" t="s">
        <v>36</v>
      </c>
      <c r="AM16" s="7" t="s">
        <v>56</v>
      </c>
      <c r="AN16" s="7" t="s">
        <v>58</v>
      </c>
      <c r="AO16" s="7"/>
      <c r="AR16" s="7">
        <v>9</v>
      </c>
      <c r="AS16" s="42" t="s">
        <v>44</v>
      </c>
      <c r="AT16" s="7" t="s">
        <v>61</v>
      </c>
      <c r="AU16" s="7">
        <v>1009</v>
      </c>
      <c r="AV16" s="30">
        <f t="shared" si="2"/>
        <v>17</v>
      </c>
      <c r="AW16" s="30">
        <f t="shared" si="7"/>
        <v>5</v>
      </c>
      <c r="AX16" s="30">
        <f t="shared" si="3"/>
        <v>3</v>
      </c>
      <c r="AY16" s="31">
        <f t="shared" si="4"/>
        <v>5</v>
      </c>
      <c r="AZ16" s="31">
        <f t="shared" si="6"/>
        <v>30</v>
      </c>
      <c r="BA16" s="32">
        <f>Table1312[[#This Row],[Days]]-Table1312[[#This Row],[Absent]]</f>
        <v>25</v>
      </c>
      <c r="BB16" s="33">
        <v>5300</v>
      </c>
      <c r="BC16" s="36">
        <f>Table1312[[#This Row],[Salary]]/Table1312[[#This Row],[Days]]</f>
        <v>176.66666666666666</v>
      </c>
      <c r="BD16" s="34">
        <f>Table1312[[#This Row],[Per Day Salary]]*Table1312[[#This Row],[Absent]]</f>
        <v>883.33333333333326</v>
      </c>
      <c r="BE16" s="33">
        <f>Table1312[[#This Row],[Salary]]-Table1312[[#This Row],[Deduction ]]</f>
        <v>4416.666666666667</v>
      </c>
    </row>
    <row r="17" spans="7:60" ht="14.15" customHeight="1" thickBot="1" x14ac:dyDescent="0.4">
      <c r="G17" s="7">
        <v>10</v>
      </c>
      <c r="H17" s="27" t="s">
        <v>45</v>
      </c>
      <c r="I17" s="7">
        <v>1010</v>
      </c>
      <c r="J17" s="15">
        <f t="shared" si="5"/>
        <v>5</v>
      </c>
      <c r="K17" s="7" t="s">
        <v>36</v>
      </c>
      <c r="L17" s="7" t="s">
        <v>58</v>
      </c>
      <c r="M17" s="7" t="s">
        <v>36</v>
      </c>
      <c r="N17" s="7" t="s">
        <v>36</v>
      </c>
      <c r="O17" s="7" t="s">
        <v>36</v>
      </c>
      <c r="P17" s="7" t="s">
        <v>36</v>
      </c>
      <c r="Q17" s="7" t="s">
        <v>56</v>
      </c>
      <c r="R17" s="7" t="s">
        <v>56</v>
      </c>
      <c r="S17" s="7" t="s">
        <v>58</v>
      </c>
      <c r="T17" s="7" t="s">
        <v>57</v>
      </c>
      <c r="U17" s="7" t="s">
        <v>36</v>
      </c>
      <c r="V17" s="7" t="s">
        <v>36</v>
      </c>
      <c r="W17" s="7" t="s">
        <v>36</v>
      </c>
      <c r="X17" s="7" t="s">
        <v>56</v>
      </c>
      <c r="Y17" s="7" t="s">
        <v>56</v>
      </c>
      <c r="Z17" s="7" t="s">
        <v>58</v>
      </c>
      <c r="AA17" s="7" t="s">
        <v>36</v>
      </c>
      <c r="AB17" s="7" t="s">
        <v>36</v>
      </c>
      <c r="AC17" s="7" t="s">
        <v>36</v>
      </c>
      <c r="AD17" s="7" t="s">
        <v>57</v>
      </c>
      <c r="AE17" s="7" t="s">
        <v>36</v>
      </c>
      <c r="AF17" s="7" t="s">
        <v>36</v>
      </c>
      <c r="AG17" s="7" t="s">
        <v>58</v>
      </c>
      <c r="AH17" s="7" t="s">
        <v>36</v>
      </c>
      <c r="AI17" s="7" t="s">
        <v>36</v>
      </c>
      <c r="AJ17" s="7" t="s">
        <v>36</v>
      </c>
      <c r="AK17" s="7" t="s">
        <v>57</v>
      </c>
      <c r="AL17" s="7" t="s">
        <v>36</v>
      </c>
      <c r="AM17" s="7" t="s">
        <v>56</v>
      </c>
      <c r="AN17" s="7" t="s">
        <v>58</v>
      </c>
      <c r="AO17" s="7"/>
      <c r="AR17" s="7">
        <v>10</v>
      </c>
      <c r="AS17" s="42" t="s">
        <v>45</v>
      </c>
      <c r="AT17" s="7" t="s">
        <v>61</v>
      </c>
      <c r="AU17" s="7">
        <v>1010</v>
      </c>
      <c r="AV17" s="30">
        <f t="shared" si="2"/>
        <v>17</v>
      </c>
      <c r="AW17" s="30">
        <f t="shared" si="7"/>
        <v>5</v>
      </c>
      <c r="AX17" s="30">
        <f t="shared" si="3"/>
        <v>3</v>
      </c>
      <c r="AY17" s="31">
        <f t="shared" si="4"/>
        <v>5</v>
      </c>
      <c r="AZ17" s="31">
        <f t="shared" si="6"/>
        <v>30</v>
      </c>
      <c r="BA17" s="32">
        <f>Table1312[[#This Row],[Days]]-Table1312[[#This Row],[Absent]]</f>
        <v>25</v>
      </c>
      <c r="BB17" s="33">
        <v>5400</v>
      </c>
      <c r="BC17" s="36">
        <f>Table1312[[#This Row],[Salary]]/Table1312[[#This Row],[Days]]</f>
        <v>180</v>
      </c>
      <c r="BD17" s="34">
        <f>Table1312[[#This Row],[Per Day Salary]]*Table1312[[#This Row],[Absent]]</f>
        <v>900</v>
      </c>
      <c r="BE17" s="33">
        <f>Table1312[[#This Row],[Salary]]-Table1312[[#This Row],[Deduction ]]</f>
        <v>4500</v>
      </c>
      <c r="BH17" s="19"/>
    </row>
    <row r="18" spans="7:60" x14ac:dyDescent="0.35">
      <c r="G18" s="7">
        <v>11</v>
      </c>
      <c r="H18" s="27" t="s">
        <v>46</v>
      </c>
      <c r="I18" s="7">
        <v>1011</v>
      </c>
      <c r="J18" s="15">
        <f t="shared" si="5"/>
        <v>5</v>
      </c>
      <c r="K18" s="7" t="s">
        <v>36</v>
      </c>
      <c r="L18" s="7" t="s">
        <v>58</v>
      </c>
      <c r="M18" s="7" t="s">
        <v>36</v>
      </c>
      <c r="N18" s="7" t="s">
        <v>36</v>
      </c>
      <c r="O18" s="7" t="s">
        <v>36</v>
      </c>
      <c r="P18" s="7" t="s">
        <v>36</v>
      </c>
      <c r="Q18" s="7" t="s">
        <v>56</v>
      </c>
      <c r="R18" s="7" t="s">
        <v>56</v>
      </c>
      <c r="S18" s="7" t="s">
        <v>58</v>
      </c>
      <c r="T18" s="7" t="s">
        <v>57</v>
      </c>
      <c r="U18" s="7" t="s">
        <v>36</v>
      </c>
      <c r="V18" s="7" t="s">
        <v>36</v>
      </c>
      <c r="W18" s="7" t="s">
        <v>36</v>
      </c>
      <c r="X18" s="7" t="s">
        <v>56</v>
      </c>
      <c r="Y18" s="7" t="s">
        <v>56</v>
      </c>
      <c r="Z18" s="7" t="s">
        <v>58</v>
      </c>
      <c r="AA18" s="7" t="s">
        <v>36</v>
      </c>
      <c r="AB18" s="7" t="s">
        <v>36</v>
      </c>
      <c r="AC18" s="7" t="s">
        <v>36</v>
      </c>
      <c r="AD18" s="7" t="s">
        <v>57</v>
      </c>
      <c r="AE18" s="7" t="s">
        <v>36</v>
      </c>
      <c r="AF18" s="7" t="s">
        <v>36</v>
      </c>
      <c r="AG18" s="7" t="s">
        <v>58</v>
      </c>
      <c r="AH18" s="7" t="s">
        <v>36</v>
      </c>
      <c r="AI18" s="7" t="s">
        <v>36</v>
      </c>
      <c r="AJ18" s="7" t="s">
        <v>36</v>
      </c>
      <c r="AK18" s="7" t="s">
        <v>57</v>
      </c>
      <c r="AL18" s="7" t="s">
        <v>36</v>
      </c>
      <c r="AM18" s="7" t="s">
        <v>56</v>
      </c>
      <c r="AN18" s="7" t="s">
        <v>58</v>
      </c>
      <c r="AO18" s="7"/>
      <c r="AR18" s="7">
        <v>11</v>
      </c>
      <c r="AS18" s="42" t="s">
        <v>46</v>
      </c>
      <c r="AT18" s="7" t="s">
        <v>61</v>
      </c>
      <c r="AU18" s="7">
        <v>1011</v>
      </c>
      <c r="AV18" s="30">
        <f t="shared" si="2"/>
        <v>17</v>
      </c>
      <c r="AW18" s="30">
        <f t="shared" si="7"/>
        <v>5</v>
      </c>
      <c r="AX18" s="30">
        <f t="shared" si="3"/>
        <v>3</v>
      </c>
      <c r="AY18" s="31">
        <f t="shared" si="4"/>
        <v>5</v>
      </c>
      <c r="AZ18" s="31">
        <f t="shared" si="6"/>
        <v>30</v>
      </c>
      <c r="BA18" s="32">
        <f>Table1312[[#This Row],[Days]]-Table1312[[#This Row],[Absent]]</f>
        <v>25</v>
      </c>
      <c r="BB18" s="33">
        <v>5500</v>
      </c>
      <c r="BC18" s="36">
        <f>Table1312[[#This Row],[Salary]]/Table1312[[#This Row],[Days]]</f>
        <v>183.33333333333334</v>
      </c>
      <c r="BD18" s="34">
        <f>Table1312[[#This Row],[Per Day Salary]]*Table1312[[#This Row],[Absent]]</f>
        <v>916.66666666666674</v>
      </c>
      <c r="BE18" s="33">
        <f>Table1312[[#This Row],[Salary]]-Table1312[[#This Row],[Deduction ]]</f>
        <v>4583.333333333333</v>
      </c>
    </row>
    <row r="19" spans="7:60" x14ac:dyDescent="0.35">
      <c r="G19" s="7">
        <v>12</v>
      </c>
      <c r="H19" s="27" t="s">
        <v>47</v>
      </c>
      <c r="I19" s="7">
        <v>1012</v>
      </c>
      <c r="J19" s="15">
        <f t="shared" si="5"/>
        <v>5</v>
      </c>
      <c r="K19" s="7" t="s">
        <v>36</v>
      </c>
      <c r="L19" s="7" t="s">
        <v>58</v>
      </c>
      <c r="M19" s="7" t="s">
        <v>36</v>
      </c>
      <c r="N19" s="7" t="s">
        <v>36</v>
      </c>
      <c r="O19" s="7" t="s">
        <v>36</v>
      </c>
      <c r="P19" s="7" t="s">
        <v>36</v>
      </c>
      <c r="Q19" s="7" t="s">
        <v>56</v>
      </c>
      <c r="R19" s="7" t="s">
        <v>56</v>
      </c>
      <c r="S19" s="7" t="s">
        <v>58</v>
      </c>
      <c r="T19" s="7" t="s">
        <v>57</v>
      </c>
      <c r="U19" s="7" t="s">
        <v>36</v>
      </c>
      <c r="V19" s="7" t="s">
        <v>36</v>
      </c>
      <c r="W19" s="7" t="s">
        <v>36</v>
      </c>
      <c r="X19" s="7" t="s">
        <v>56</v>
      </c>
      <c r="Y19" s="7" t="s">
        <v>56</v>
      </c>
      <c r="Z19" s="7" t="s">
        <v>58</v>
      </c>
      <c r="AA19" s="7" t="s">
        <v>36</v>
      </c>
      <c r="AB19" s="7" t="s">
        <v>36</v>
      </c>
      <c r="AC19" s="7" t="s">
        <v>36</v>
      </c>
      <c r="AD19" s="7" t="s">
        <v>57</v>
      </c>
      <c r="AE19" s="7" t="s">
        <v>36</v>
      </c>
      <c r="AF19" s="7" t="s">
        <v>36</v>
      </c>
      <c r="AG19" s="7" t="s">
        <v>58</v>
      </c>
      <c r="AH19" s="7" t="s">
        <v>36</v>
      </c>
      <c r="AI19" s="7" t="s">
        <v>36</v>
      </c>
      <c r="AJ19" s="7" t="s">
        <v>36</v>
      </c>
      <c r="AK19" s="7" t="s">
        <v>57</v>
      </c>
      <c r="AL19" s="7" t="s">
        <v>36</v>
      </c>
      <c r="AM19" s="7" t="s">
        <v>56</v>
      </c>
      <c r="AN19" s="7" t="s">
        <v>58</v>
      </c>
      <c r="AO19" s="7"/>
      <c r="AR19" s="7">
        <v>12</v>
      </c>
      <c r="AS19" s="42" t="s">
        <v>47</v>
      </c>
      <c r="AT19" s="7" t="s">
        <v>61</v>
      </c>
      <c r="AU19" s="7">
        <v>1012</v>
      </c>
      <c r="AV19" s="30">
        <f t="shared" si="2"/>
        <v>17</v>
      </c>
      <c r="AW19" s="30">
        <f t="shared" si="7"/>
        <v>5</v>
      </c>
      <c r="AX19" s="30">
        <f t="shared" si="3"/>
        <v>3</v>
      </c>
      <c r="AY19" s="31">
        <f t="shared" si="4"/>
        <v>5</v>
      </c>
      <c r="AZ19" s="31">
        <f t="shared" si="6"/>
        <v>30</v>
      </c>
      <c r="BA19" s="32">
        <f>Table1312[[#This Row],[Days]]-Table1312[[#This Row],[Absent]]</f>
        <v>25</v>
      </c>
      <c r="BB19" s="33">
        <v>5600</v>
      </c>
      <c r="BC19" s="36">
        <f>Table1312[[#This Row],[Salary]]/Table1312[[#This Row],[Days]]</f>
        <v>186.66666666666666</v>
      </c>
      <c r="BD19" s="34">
        <f>Table1312[[#This Row],[Per Day Salary]]*Table1312[[#This Row],[Absent]]</f>
        <v>933.33333333333326</v>
      </c>
      <c r="BE19" s="33">
        <f>Table1312[[#This Row],[Salary]]-Table1312[[#This Row],[Deduction ]]</f>
        <v>4666.666666666667</v>
      </c>
    </row>
    <row r="20" spans="7:60" x14ac:dyDescent="0.35">
      <c r="G20" s="7">
        <v>13</v>
      </c>
      <c r="H20" s="27" t="s">
        <v>48</v>
      </c>
      <c r="I20" s="7">
        <v>1013</v>
      </c>
      <c r="J20" s="15">
        <f t="shared" si="5"/>
        <v>5</v>
      </c>
      <c r="K20" s="7" t="s">
        <v>36</v>
      </c>
      <c r="L20" s="7" t="s">
        <v>58</v>
      </c>
      <c r="M20" s="7" t="s">
        <v>36</v>
      </c>
      <c r="N20" s="7" t="s">
        <v>36</v>
      </c>
      <c r="O20" s="7" t="s">
        <v>36</v>
      </c>
      <c r="P20" s="7" t="s">
        <v>36</v>
      </c>
      <c r="Q20" s="7" t="s">
        <v>56</v>
      </c>
      <c r="R20" s="7" t="s">
        <v>56</v>
      </c>
      <c r="S20" s="7" t="s">
        <v>58</v>
      </c>
      <c r="T20" s="7" t="s">
        <v>57</v>
      </c>
      <c r="U20" s="7" t="s">
        <v>36</v>
      </c>
      <c r="V20" s="7" t="s">
        <v>36</v>
      </c>
      <c r="W20" s="7" t="s">
        <v>36</v>
      </c>
      <c r="X20" s="7" t="s">
        <v>56</v>
      </c>
      <c r="Y20" s="7" t="s">
        <v>56</v>
      </c>
      <c r="Z20" s="7" t="s">
        <v>58</v>
      </c>
      <c r="AA20" s="7" t="s">
        <v>36</v>
      </c>
      <c r="AB20" s="7" t="s">
        <v>36</v>
      </c>
      <c r="AC20" s="7" t="s">
        <v>36</v>
      </c>
      <c r="AD20" s="7" t="s">
        <v>57</v>
      </c>
      <c r="AE20" s="7" t="s">
        <v>36</v>
      </c>
      <c r="AF20" s="7" t="s">
        <v>36</v>
      </c>
      <c r="AG20" s="7" t="s">
        <v>58</v>
      </c>
      <c r="AH20" s="7" t="s">
        <v>36</v>
      </c>
      <c r="AI20" s="7" t="s">
        <v>36</v>
      </c>
      <c r="AJ20" s="7" t="s">
        <v>36</v>
      </c>
      <c r="AK20" s="7" t="s">
        <v>57</v>
      </c>
      <c r="AL20" s="7" t="s">
        <v>36</v>
      </c>
      <c r="AM20" s="7" t="s">
        <v>56</v>
      </c>
      <c r="AN20" s="7" t="s">
        <v>58</v>
      </c>
      <c r="AO20" s="7"/>
      <c r="AR20" s="7">
        <v>13</v>
      </c>
      <c r="AS20" s="42" t="s">
        <v>48</v>
      </c>
      <c r="AT20" s="7" t="s">
        <v>61</v>
      </c>
      <c r="AU20" s="7">
        <v>1013</v>
      </c>
      <c r="AV20" s="30">
        <f t="shared" si="2"/>
        <v>17</v>
      </c>
      <c r="AW20" s="30">
        <f t="shared" si="7"/>
        <v>5</v>
      </c>
      <c r="AX20" s="30">
        <f t="shared" si="3"/>
        <v>3</v>
      </c>
      <c r="AY20" s="31">
        <f t="shared" si="4"/>
        <v>5</v>
      </c>
      <c r="AZ20" s="31">
        <f t="shared" si="6"/>
        <v>30</v>
      </c>
      <c r="BA20" s="32">
        <f>Table1312[[#This Row],[Days]]-Table1312[[#This Row],[Absent]]</f>
        <v>25</v>
      </c>
      <c r="BB20" s="33">
        <v>5700</v>
      </c>
      <c r="BC20" s="36">
        <f>Table1312[[#This Row],[Salary]]/Table1312[[#This Row],[Days]]</f>
        <v>190</v>
      </c>
      <c r="BD20" s="34">
        <f>Table1312[[#This Row],[Per Day Salary]]*Table1312[[#This Row],[Absent]]</f>
        <v>950</v>
      </c>
      <c r="BE20" s="33">
        <f>Table1312[[#This Row],[Salary]]-Table1312[[#This Row],[Deduction ]]</f>
        <v>4750</v>
      </c>
    </row>
    <row r="21" spans="7:60" x14ac:dyDescent="0.35">
      <c r="G21" s="7">
        <v>14</v>
      </c>
      <c r="H21" s="27" t="s">
        <v>49</v>
      </c>
      <c r="I21" s="7">
        <v>1014</v>
      </c>
      <c r="J21" s="15">
        <f t="shared" si="5"/>
        <v>5</v>
      </c>
      <c r="K21" s="7" t="s">
        <v>36</v>
      </c>
      <c r="L21" s="7" t="s">
        <v>58</v>
      </c>
      <c r="M21" s="7" t="s">
        <v>36</v>
      </c>
      <c r="N21" s="7" t="s">
        <v>36</v>
      </c>
      <c r="O21" s="7" t="s">
        <v>36</v>
      </c>
      <c r="P21" s="7" t="s">
        <v>36</v>
      </c>
      <c r="Q21" s="7" t="s">
        <v>56</v>
      </c>
      <c r="R21" s="7" t="s">
        <v>56</v>
      </c>
      <c r="S21" s="7" t="s">
        <v>58</v>
      </c>
      <c r="T21" s="7" t="s">
        <v>57</v>
      </c>
      <c r="U21" s="7" t="s">
        <v>36</v>
      </c>
      <c r="V21" s="7" t="s">
        <v>36</v>
      </c>
      <c r="W21" s="7" t="s">
        <v>36</v>
      </c>
      <c r="X21" s="7" t="s">
        <v>56</v>
      </c>
      <c r="Y21" s="7" t="s">
        <v>56</v>
      </c>
      <c r="Z21" s="7" t="s">
        <v>58</v>
      </c>
      <c r="AA21" s="7" t="s">
        <v>36</v>
      </c>
      <c r="AB21" s="7" t="s">
        <v>36</v>
      </c>
      <c r="AC21" s="7" t="s">
        <v>36</v>
      </c>
      <c r="AD21" s="7" t="s">
        <v>57</v>
      </c>
      <c r="AE21" s="7" t="s">
        <v>36</v>
      </c>
      <c r="AF21" s="7" t="s">
        <v>36</v>
      </c>
      <c r="AG21" s="7" t="s">
        <v>58</v>
      </c>
      <c r="AH21" s="7" t="s">
        <v>36</v>
      </c>
      <c r="AI21" s="7" t="s">
        <v>36</v>
      </c>
      <c r="AJ21" s="7" t="s">
        <v>36</v>
      </c>
      <c r="AK21" s="7" t="s">
        <v>57</v>
      </c>
      <c r="AL21" s="7" t="s">
        <v>36</v>
      </c>
      <c r="AM21" s="7" t="s">
        <v>56</v>
      </c>
      <c r="AN21" s="7" t="s">
        <v>58</v>
      </c>
      <c r="AO21" s="7"/>
      <c r="AR21" s="7">
        <v>14</v>
      </c>
      <c r="AS21" s="42" t="s">
        <v>49</v>
      </c>
      <c r="AT21" s="7" t="s">
        <v>61</v>
      </c>
      <c r="AU21" s="7">
        <v>1014</v>
      </c>
      <c r="AV21" s="30">
        <f t="shared" si="2"/>
        <v>17</v>
      </c>
      <c r="AW21" s="30">
        <f t="shared" si="7"/>
        <v>5</v>
      </c>
      <c r="AX21" s="30">
        <f t="shared" si="3"/>
        <v>3</v>
      </c>
      <c r="AY21" s="31">
        <f t="shared" si="4"/>
        <v>5</v>
      </c>
      <c r="AZ21" s="31">
        <f t="shared" si="6"/>
        <v>30</v>
      </c>
      <c r="BA21" s="32">
        <f>Table1312[[#This Row],[Days]]-Table1312[[#This Row],[Absent]]</f>
        <v>25</v>
      </c>
      <c r="BB21" s="33">
        <v>5800</v>
      </c>
      <c r="BC21" s="36">
        <f>Table1312[[#This Row],[Salary]]/Table1312[[#This Row],[Days]]</f>
        <v>193.33333333333334</v>
      </c>
      <c r="BD21" s="34">
        <f>Table1312[[#This Row],[Per Day Salary]]*Table1312[[#This Row],[Absent]]</f>
        <v>966.66666666666674</v>
      </c>
      <c r="BE21" s="33">
        <f>Table1312[[#This Row],[Salary]]-Table1312[[#This Row],[Deduction ]]</f>
        <v>4833.333333333333</v>
      </c>
    </row>
    <row r="22" spans="7:60" x14ac:dyDescent="0.35">
      <c r="G22" s="7">
        <v>15</v>
      </c>
      <c r="H22" s="27" t="s">
        <v>50</v>
      </c>
      <c r="I22" s="7">
        <v>1015</v>
      </c>
      <c r="J22" s="15">
        <f t="shared" si="5"/>
        <v>5</v>
      </c>
      <c r="K22" s="7" t="s">
        <v>36</v>
      </c>
      <c r="L22" s="7" t="s">
        <v>58</v>
      </c>
      <c r="M22" s="7" t="s">
        <v>36</v>
      </c>
      <c r="N22" s="7" t="s">
        <v>36</v>
      </c>
      <c r="O22" s="7" t="s">
        <v>36</v>
      </c>
      <c r="P22" s="7" t="s">
        <v>36</v>
      </c>
      <c r="Q22" s="7" t="s">
        <v>56</v>
      </c>
      <c r="R22" s="7" t="s">
        <v>56</v>
      </c>
      <c r="S22" s="7" t="s">
        <v>58</v>
      </c>
      <c r="T22" s="7" t="s">
        <v>57</v>
      </c>
      <c r="U22" s="7" t="s">
        <v>36</v>
      </c>
      <c r="V22" s="7" t="s">
        <v>36</v>
      </c>
      <c r="W22" s="7" t="s">
        <v>36</v>
      </c>
      <c r="X22" s="7" t="s">
        <v>56</v>
      </c>
      <c r="Y22" s="7" t="s">
        <v>56</v>
      </c>
      <c r="Z22" s="7" t="s">
        <v>58</v>
      </c>
      <c r="AA22" s="7" t="s">
        <v>36</v>
      </c>
      <c r="AB22" s="7" t="s">
        <v>36</v>
      </c>
      <c r="AC22" s="7" t="s">
        <v>36</v>
      </c>
      <c r="AD22" s="7" t="s">
        <v>57</v>
      </c>
      <c r="AE22" s="7" t="s">
        <v>36</v>
      </c>
      <c r="AF22" s="7" t="s">
        <v>36</v>
      </c>
      <c r="AG22" s="7" t="s">
        <v>58</v>
      </c>
      <c r="AH22" s="7" t="s">
        <v>36</v>
      </c>
      <c r="AI22" s="7" t="s">
        <v>36</v>
      </c>
      <c r="AJ22" s="7" t="s">
        <v>36</v>
      </c>
      <c r="AK22" s="7" t="s">
        <v>57</v>
      </c>
      <c r="AL22" s="7" t="s">
        <v>36</v>
      </c>
      <c r="AM22" s="7" t="s">
        <v>56</v>
      </c>
      <c r="AN22" s="7" t="s">
        <v>58</v>
      </c>
      <c r="AO22" s="7"/>
      <c r="AR22" s="7">
        <v>15</v>
      </c>
      <c r="AS22" s="42" t="s">
        <v>50</v>
      </c>
      <c r="AT22" s="7" t="s">
        <v>61</v>
      </c>
      <c r="AU22" s="7">
        <v>1015</v>
      </c>
      <c r="AV22" s="30">
        <f t="shared" si="2"/>
        <v>17</v>
      </c>
      <c r="AW22" s="30">
        <f t="shared" si="7"/>
        <v>5</v>
      </c>
      <c r="AX22" s="30">
        <f t="shared" si="3"/>
        <v>3</v>
      </c>
      <c r="AY22" s="31">
        <f t="shared" si="4"/>
        <v>5</v>
      </c>
      <c r="AZ22" s="31">
        <f t="shared" si="6"/>
        <v>30</v>
      </c>
      <c r="BA22" s="32">
        <f>Table1312[[#This Row],[Days]]-Table1312[[#This Row],[Absent]]</f>
        <v>25</v>
      </c>
      <c r="BB22" s="33">
        <v>5900</v>
      </c>
      <c r="BC22" s="36">
        <f>Table1312[[#This Row],[Salary]]/Table1312[[#This Row],[Days]]</f>
        <v>196.66666666666666</v>
      </c>
      <c r="BD22" s="34">
        <f>Table1312[[#This Row],[Per Day Salary]]*Table1312[[#This Row],[Absent]]</f>
        <v>983.33333333333326</v>
      </c>
      <c r="BE22" s="33">
        <f>Table1312[[#This Row],[Salary]]-Table1312[[#This Row],[Deduction ]]</f>
        <v>4916.666666666667</v>
      </c>
    </row>
    <row r="23" spans="7:60" x14ac:dyDescent="0.35">
      <c r="G23" s="7">
        <v>16</v>
      </c>
      <c r="H23" s="27" t="s">
        <v>51</v>
      </c>
      <c r="I23" s="7">
        <v>1016</v>
      </c>
      <c r="J23" s="15">
        <f t="shared" si="5"/>
        <v>5</v>
      </c>
      <c r="K23" s="7" t="s">
        <v>36</v>
      </c>
      <c r="L23" s="7" t="s">
        <v>58</v>
      </c>
      <c r="M23" s="7" t="s">
        <v>36</v>
      </c>
      <c r="N23" s="7" t="s">
        <v>36</v>
      </c>
      <c r="O23" s="7" t="s">
        <v>36</v>
      </c>
      <c r="P23" s="7" t="s">
        <v>36</v>
      </c>
      <c r="Q23" s="7" t="s">
        <v>56</v>
      </c>
      <c r="R23" s="7" t="s">
        <v>56</v>
      </c>
      <c r="S23" s="7" t="s">
        <v>58</v>
      </c>
      <c r="T23" s="7" t="s">
        <v>57</v>
      </c>
      <c r="U23" s="7" t="s">
        <v>36</v>
      </c>
      <c r="V23" s="7" t="s">
        <v>36</v>
      </c>
      <c r="W23" s="7" t="s">
        <v>36</v>
      </c>
      <c r="X23" s="7" t="s">
        <v>56</v>
      </c>
      <c r="Y23" s="7" t="s">
        <v>56</v>
      </c>
      <c r="Z23" s="7" t="s">
        <v>58</v>
      </c>
      <c r="AA23" s="7" t="s">
        <v>36</v>
      </c>
      <c r="AB23" s="7" t="s">
        <v>36</v>
      </c>
      <c r="AC23" s="7" t="s">
        <v>36</v>
      </c>
      <c r="AD23" s="7" t="s">
        <v>57</v>
      </c>
      <c r="AE23" s="7" t="s">
        <v>36</v>
      </c>
      <c r="AF23" s="7" t="s">
        <v>36</v>
      </c>
      <c r="AG23" s="7" t="s">
        <v>58</v>
      </c>
      <c r="AH23" s="7" t="s">
        <v>36</v>
      </c>
      <c r="AI23" s="7" t="s">
        <v>36</v>
      </c>
      <c r="AJ23" s="7" t="s">
        <v>36</v>
      </c>
      <c r="AK23" s="7" t="s">
        <v>57</v>
      </c>
      <c r="AL23" s="7" t="s">
        <v>36</v>
      </c>
      <c r="AM23" s="7" t="s">
        <v>56</v>
      </c>
      <c r="AN23" s="7" t="s">
        <v>58</v>
      </c>
      <c r="AO23" s="7"/>
      <c r="AR23" s="7">
        <v>16</v>
      </c>
      <c r="AS23" s="42" t="s">
        <v>51</v>
      </c>
      <c r="AT23" s="7" t="s">
        <v>61</v>
      </c>
      <c r="AU23" s="7">
        <v>1016</v>
      </c>
      <c r="AV23" s="30">
        <f t="shared" si="2"/>
        <v>17</v>
      </c>
      <c r="AW23" s="30">
        <f t="shared" si="7"/>
        <v>5</v>
      </c>
      <c r="AX23" s="30">
        <f t="shared" si="3"/>
        <v>3</v>
      </c>
      <c r="AY23" s="31">
        <f t="shared" si="4"/>
        <v>5</v>
      </c>
      <c r="AZ23" s="31">
        <f t="shared" si="6"/>
        <v>30</v>
      </c>
      <c r="BA23" s="32">
        <f>Table1312[[#This Row],[Days]]-Table1312[[#This Row],[Absent]]</f>
        <v>25</v>
      </c>
      <c r="BB23" s="33">
        <v>6000</v>
      </c>
      <c r="BC23" s="36">
        <f>Table1312[[#This Row],[Salary]]/Table1312[[#This Row],[Days]]</f>
        <v>200</v>
      </c>
      <c r="BD23" s="34">
        <f>Table1312[[#This Row],[Per Day Salary]]*Table1312[[#This Row],[Absent]]</f>
        <v>1000</v>
      </c>
      <c r="BE23" s="33">
        <f>Table1312[[#This Row],[Salary]]-Table1312[[#This Row],[Deduction ]]</f>
        <v>5000</v>
      </c>
    </row>
    <row r="24" spans="7:60" x14ac:dyDescent="0.35">
      <c r="G24" s="7">
        <v>17</v>
      </c>
      <c r="H24" s="27" t="s">
        <v>52</v>
      </c>
      <c r="I24" s="7">
        <v>1017</v>
      </c>
      <c r="J24" s="15">
        <f t="shared" si="5"/>
        <v>5</v>
      </c>
      <c r="K24" s="7" t="s">
        <v>36</v>
      </c>
      <c r="L24" s="7" t="s">
        <v>58</v>
      </c>
      <c r="M24" s="7" t="s">
        <v>36</v>
      </c>
      <c r="N24" s="7" t="s">
        <v>36</v>
      </c>
      <c r="O24" s="7" t="s">
        <v>36</v>
      </c>
      <c r="P24" s="7" t="s">
        <v>36</v>
      </c>
      <c r="Q24" s="7" t="s">
        <v>56</v>
      </c>
      <c r="R24" s="7" t="s">
        <v>56</v>
      </c>
      <c r="S24" s="7" t="s">
        <v>58</v>
      </c>
      <c r="T24" s="7" t="s">
        <v>57</v>
      </c>
      <c r="U24" s="7" t="s">
        <v>36</v>
      </c>
      <c r="V24" s="7" t="s">
        <v>36</v>
      </c>
      <c r="W24" s="7" t="s">
        <v>36</v>
      </c>
      <c r="X24" s="7" t="s">
        <v>56</v>
      </c>
      <c r="Y24" s="7" t="s">
        <v>56</v>
      </c>
      <c r="Z24" s="7" t="s">
        <v>58</v>
      </c>
      <c r="AA24" s="7" t="s">
        <v>36</v>
      </c>
      <c r="AB24" s="7" t="s">
        <v>36</v>
      </c>
      <c r="AC24" s="7" t="s">
        <v>36</v>
      </c>
      <c r="AD24" s="7" t="s">
        <v>57</v>
      </c>
      <c r="AE24" s="7" t="s">
        <v>36</v>
      </c>
      <c r="AF24" s="7" t="s">
        <v>36</v>
      </c>
      <c r="AG24" s="7" t="s">
        <v>58</v>
      </c>
      <c r="AH24" s="7" t="s">
        <v>36</v>
      </c>
      <c r="AI24" s="7" t="s">
        <v>36</v>
      </c>
      <c r="AJ24" s="7" t="s">
        <v>36</v>
      </c>
      <c r="AK24" s="7" t="s">
        <v>57</v>
      </c>
      <c r="AL24" s="7" t="s">
        <v>36</v>
      </c>
      <c r="AM24" s="7" t="s">
        <v>56</v>
      </c>
      <c r="AN24" s="7" t="s">
        <v>58</v>
      </c>
      <c r="AO24" s="7"/>
      <c r="AR24" s="7">
        <v>17</v>
      </c>
      <c r="AS24" s="42" t="s">
        <v>52</v>
      </c>
      <c r="AT24" s="7" t="s">
        <v>61</v>
      </c>
      <c r="AU24" s="7">
        <v>1017</v>
      </c>
      <c r="AV24" s="30">
        <f t="shared" si="2"/>
        <v>17</v>
      </c>
      <c r="AW24" s="30">
        <f t="shared" si="7"/>
        <v>5</v>
      </c>
      <c r="AX24" s="30">
        <f t="shared" si="3"/>
        <v>3</v>
      </c>
      <c r="AY24" s="31">
        <f t="shared" si="4"/>
        <v>5</v>
      </c>
      <c r="AZ24" s="31">
        <f t="shared" si="6"/>
        <v>30</v>
      </c>
      <c r="BA24" s="1">
        <f>Table1312[[#This Row],[Days]]-Table1312[[#This Row],[Absent]]</f>
        <v>25</v>
      </c>
      <c r="BB24" s="33">
        <v>6100</v>
      </c>
      <c r="BC24" s="36">
        <f>Table1312[[#This Row],[Salary]]/Table1312[[#This Row],[Days]]</f>
        <v>203.33333333333334</v>
      </c>
      <c r="BD24" s="34">
        <f>Table1312[[#This Row],[Per Day Salary]]*Table1312[[#This Row],[Absent]]</f>
        <v>1016.6666666666667</v>
      </c>
      <c r="BE24" s="33">
        <f>Table1312[[#This Row],[Salary]]-Table1312[[#This Row],[Deduction ]]</f>
        <v>5083.333333333333</v>
      </c>
    </row>
    <row r="25" spans="7:60" x14ac:dyDescent="0.35">
      <c r="G25" s="7">
        <v>18</v>
      </c>
      <c r="H25" s="27" t="s">
        <v>53</v>
      </c>
      <c r="I25" s="7">
        <v>1018</v>
      </c>
      <c r="J25" s="15">
        <f t="shared" si="5"/>
        <v>5</v>
      </c>
      <c r="K25" s="7" t="s">
        <v>36</v>
      </c>
      <c r="L25" s="7" t="s">
        <v>58</v>
      </c>
      <c r="M25" s="7" t="s">
        <v>36</v>
      </c>
      <c r="N25" s="7" t="s">
        <v>36</v>
      </c>
      <c r="O25" s="7" t="s">
        <v>36</v>
      </c>
      <c r="P25" s="7" t="s">
        <v>36</v>
      </c>
      <c r="Q25" s="7" t="s">
        <v>56</v>
      </c>
      <c r="R25" s="7" t="s">
        <v>56</v>
      </c>
      <c r="S25" s="7" t="s">
        <v>58</v>
      </c>
      <c r="T25" s="7" t="s">
        <v>57</v>
      </c>
      <c r="U25" s="7" t="s">
        <v>36</v>
      </c>
      <c r="V25" s="7" t="s">
        <v>36</v>
      </c>
      <c r="W25" s="7" t="s">
        <v>36</v>
      </c>
      <c r="X25" s="7" t="s">
        <v>56</v>
      </c>
      <c r="Y25" s="7" t="s">
        <v>56</v>
      </c>
      <c r="Z25" s="7" t="s">
        <v>58</v>
      </c>
      <c r="AA25" s="7" t="s">
        <v>36</v>
      </c>
      <c r="AB25" s="7" t="s">
        <v>36</v>
      </c>
      <c r="AC25" s="7" t="s">
        <v>36</v>
      </c>
      <c r="AD25" s="7" t="s">
        <v>57</v>
      </c>
      <c r="AE25" s="7" t="s">
        <v>36</v>
      </c>
      <c r="AF25" s="7" t="s">
        <v>36</v>
      </c>
      <c r="AG25" s="7" t="s">
        <v>58</v>
      </c>
      <c r="AH25" s="7" t="s">
        <v>36</v>
      </c>
      <c r="AI25" s="7" t="s">
        <v>36</v>
      </c>
      <c r="AJ25" s="7" t="s">
        <v>36</v>
      </c>
      <c r="AK25" s="7" t="s">
        <v>57</v>
      </c>
      <c r="AL25" s="7" t="s">
        <v>36</v>
      </c>
      <c r="AM25" s="7" t="s">
        <v>56</v>
      </c>
      <c r="AN25" s="7" t="s">
        <v>58</v>
      </c>
      <c r="AO25" s="7"/>
      <c r="AR25" s="7">
        <v>18</v>
      </c>
      <c r="AS25" s="42" t="s">
        <v>53</v>
      </c>
      <c r="AT25" s="7" t="s">
        <v>61</v>
      </c>
      <c r="AU25" s="7">
        <v>1018</v>
      </c>
      <c r="AV25" s="30">
        <f t="shared" si="2"/>
        <v>17</v>
      </c>
      <c r="AW25" s="30">
        <f t="shared" si="7"/>
        <v>5</v>
      </c>
      <c r="AX25" s="30">
        <f t="shared" si="3"/>
        <v>3</v>
      </c>
      <c r="AY25" s="31">
        <f t="shared" si="4"/>
        <v>5</v>
      </c>
      <c r="AZ25" s="31">
        <f t="shared" si="6"/>
        <v>30</v>
      </c>
      <c r="BA25" s="32">
        <f>Table1312[[#This Row],[Days]]-Table1312[[#This Row],[Absent]]</f>
        <v>25</v>
      </c>
      <c r="BB25" s="33">
        <v>6200</v>
      </c>
      <c r="BC25" s="36">
        <f>Table1312[[#This Row],[Salary]]/Table1312[[#This Row],[Days]]</f>
        <v>206.66666666666666</v>
      </c>
      <c r="BD25" s="34">
        <f>Table1312[[#This Row],[Per Day Salary]]*Table1312[[#This Row],[Absent]]</f>
        <v>1033.3333333333333</v>
      </c>
      <c r="BE25" s="33">
        <f>Table1312[[#This Row],[Salary]]-Table1312[[#This Row],[Deduction ]]</f>
        <v>5166.666666666667</v>
      </c>
    </row>
    <row r="26" spans="7:60" x14ac:dyDescent="0.35">
      <c r="G26" s="7">
        <v>19</v>
      </c>
      <c r="H26" s="27" t="s">
        <v>54</v>
      </c>
      <c r="I26" s="7">
        <v>1019</v>
      </c>
      <c r="J26" s="15">
        <f t="shared" si="5"/>
        <v>5</v>
      </c>
      <c r="K26" s="7" t="s">
        <v>36</v>
      </c>
      <c r="L26" s="7" t="s">
        <v>58</v>
      </c>
      <c r="M26" s="7" t="s">
        <v>36</v>
      </c>
      <c r="N26" s="7" t="s">
        <v>36</v>
      </c>
      <c r="O26" s="7" t="s">
        <v>36</v>
      </c>
      <c r="P26" s="7" t="s">
        <v>36</v>
      </c>
      <c r="Q26" s="7" t="s">
        <v>56</v>
      </c>
      <c r="R26" s="7" t="s">
        <v>56</v>
      </c>
      <c r="S26" s="7" t="s">
        <v>58</v>
      </c>
      <c r="T26" s="7" t="s">
        <v>57</v>
      </c>
      <c r="U26" s="7" t="s">
        <v>36</v>
      </c>
      <c r="V26" s="7" t="s">
        <v>36</v>
      </c>
      <c r="W26" s="7" t="s">
        <v>36</v>
      </c>
      <c r="X26" s="7" t="s">
        <v>56</v>
      </c>
      <c r="Y26" s="7" t="s">
        <v>56</v>
      </c>
      <c r="Z26" s="7" t="s">
        <v>58</v>
      </c>
      <c r="AA26" s="7" t="s">
        <v>36</v>
      </c>
      <c r="AB26" s="7" t="s">
        <v>36</v>
      </c>
      <c r="AC26" s="7" t="s">
        <v>36</v>
      </c>
      <c r="AD26" s="7" t="s">
        <v>57</v>
      </c>
      <c r="AE26" s="7" t="s">
        <v>36</v>
      </c>
      <c r="AF26" s="7" t="s">
        <v>36</v>
      </c>
      <c r="AG26" s="7" t="s">
        <v>58</v>
      </c>
      <c r="AH26" s="7" t="s">
        <v>36</v>
      </c>
      <c r="AI26" s="7" t="s">
        <v>36</v>
      </c>
      <c r="AJ26" s="7" t="s">
        <v>36</v>
      </c>
      <c r="AK26" s="7" t="s">
        <v>57</v>
      </c>
      <c r="AL26" s="7" t="s">
        <v>36</v>
      </c>
      <c r="AM26" s="7" t="s">
        <v>56</v>
      </c>
      <c r="AN26" s="7" t="s">
        <v>58</v>
      </c>
      <c r="AO26" s="7"/>
      <c r="AR26" s="7">
        <v>19</v>
      </c>
      <c r="AS26" s="42" t="s">
        <v>54</v>
      </c>
      <c r="AT26" s="7" t="s">
        <v>61</v>
      </c>
      <c r="AU26" s="7">
        <v>1019</v>
      </c>
      <c r="AV26" s="30">
        <f t="shared" si="2"/>
        <v>17</v>
      </c>
      <c r="AW26" s="30">
        <f t="shared" si="7"/>
        <v>5</v>
      </c>
      <c r="AX26" s="30">
        <f t="shared" si="3"/>
        <v>3</v>
      </c>
      <c r="AY26" s="31">
        <f t="shared" si="4"/>
        <v>5</v>
      </c>
      <c r="AZ26" s="31">
        <f t="shared" si="6"/>
        <v>30</v>
      </c>
      <c r="BA26" s="1">
        <f>Table1312[[#This Row],[Days]]-Table1312[[#This Row],[Absent]]</f>
        <v>25</v>
      </c>
      <c r="BB26" s="33">
        <v>6300</v>
      </c>
      <c r="BC26" s="36">
        <f>Table1312[[#This Row],[Salary]]/Table1312[[#This Row],[Days]]</f>
        <v>210</v>
      </c>
      <c r="BD26" s="34">
        <f>Table1312[[#This Row],[Per Day Salary]]*Table1312[[#This Row],[Absent]]</f>
        <v>1050</v>
      </c>
      <c r="BE26" s="33">
        <f>Table1312[[#This Row],[Salary]]-Table1312[[#This Row],[Deduction ]]</f>
        <v>5250</v>
      </c>
    </row>
    <row r="27" spans="7:60" x14ac:dyDescent="0.35">
      <c r="G27" s="7">
        <v>20</v>
      </c>
      <c r="H27" s="27" t="s">
        <v>55</v>
      </c>
      <c r="I27" s="7">
        <v>1020</v>
      </c>
      <c r="J27" s="15">
        <f t="shared" si="5"/>
        <v>5</v>
      </c>
      <c r="K27" s="7" t="s">
        <v>36</v>
      </c>
      <c r="L27" s="7" t="s">
        <v>58</v>
      </c>
      <c r="M27" s="7" t="s">
        <v>36</v>
      </c>
      <c r="N27" s="7" t="s">
        <v>36</v>
      </c>
      <c r="O27" s="7" t="s">
        <v>36</v>
      </c>
      <c r="P27" s="7" t="s">
        <v>36</v>
      </c>
      <c r="Q27" s="7" t="s">
        <v>56</v>
      </c>
      <c r="R27" s="7" t="s">
        <v>56</v>
      </c>
      <c r="S27" s="7" t="s">
        <v>58</v>
      </c>
      <c r="T27" s="7" t="s">
        <v>57</v>
      </c>
      <c r="U27" s="7" t="s">
        <v>36</v>
      </c>
      <c r="V27" s="7" t="s">
        <v>36</v>
      </c>
      <c r="W27" s="7" t="s">
        <v>36</v>
      </c>
      <c r="X27" s="7" t="s">
        <v>56</v>
      </c>
      <c r="Y27" s="7" t="s">
        <v>56</v>
      </c>
      <c r="Z27" s="7" t="s">
        <v>58</v>
      </c>
      <c r="AA27" s="7" t="s">
        <v>36</v>
      </c>
      <c r="AB27" s="7" t="s">
        <v>36</v>
      </c>
      <c r="AC27" s="7" t="s">
        <v>36</v>
      </c>
      <c r="AD27" s="7" t="s">
        <v>57</v>
      </c>
      <c r="AE27" s="7" t="s">
        <v>36</v>
      </c>
      <c r="AF27" s="7" t="s">
        <v>36</v>
      </c>
      <c r="AG27" s="7" t="s">
        <v>58</v>
      </c>
      <c r="AH27" s="7" t="s">
        <v>36</v>
      </c>
      <c r="AI27" s="7" t="s">
        <v>36</v>
      </c>
      <c r="AJ27" s="7" t="s">
        <v>36</v>
      </c>
      <c r="AK27" s="7" t="s">
        <v>57</v>
      </c>
      <c r="AL27" s="7" t="s">
        <v>36</v>
      </c>
      <c r="AM27" s="7" t="s">
        <v>56</v>
      </c>
      <c r="AN27" s="7" t="s">
        <v>58</v>
      </c>
      <c r="AO27" s="7"/>
      <c r="AR27" s="7">
        <v>20</v>
      </c>
      <c r="AS27" s="42" t="s">
        <v>55</v>
      </c>
      <c r="AT27" s="7" t="s">
        <v>61</v>
      </c>
      <c r="AU27" s="7">
        <v>1020</v>
      </c>
      <c r="AV27" s="30">
        <f t="shared" si="2"/>
        <v>17</v>
      </c>
      <c r="AW27" s="30">
        <f t="shared" si="7"/>
        <v>5</v>
      </c>
      <c r="AX27" s="30">
        <f t="shared" si="3"/>
        <v>3</v>
      </c>
      <c r="AY27" s="31">
        <f t="shared" si="4"/>
        <v>5</v>
      </c>
      <c r="AZ27" s="31">
        <f t="shared" si="6"/>
        <v>30</v>
      </c>
      <c r="BA27" s="32">
        <f>Table1312[[#This Row],[Days]]-Table1312[[#This Row],[Absent]]</f>
        <v>25</v>
      </c>
      <c r="BB27" s="33">
        <v>6400</v>
      </c>
      <c r="BC27" s="36">
        <f>Table1312[[#This Row],[Salary]]/Table1312[[#This Row],[Days]]</f>
        <v>213.33333333333334</v>
      </c>
      <c r="BD27" s="34">
        <f>Table1312[[#This Row],[Per Day Salary]]*Table1312[[#This Row],[Absent]]</f>
        <v>1066.6666666666667</v>
      </c>
      <c r="BE27" s="33">
        <f>Table1312[[#This Row],[Salary]]-Table1312[[#This Row],[Deduction ]]</f>
        <v>5333.333333333333</v>
      </c>
    </row>
    <row r="28" spans="7:60" x14ac:dyDescent="0.35">
      <c r="L28" s="6"/>
      <c r="S28" s="6"/>
      <c r="AR28" s="39"/>
      <c r="AS28" s="6"/>
      <c r="AT28" s="6"/>
      <c r="AU28" s="6"/>
      <c r="AV28" s="37">
        <f>COUNTIF($K28:$AO28,"P")</f>
        <v>0</v>
      </c>
      <c r="AW28" s="37">
        <f>COUNTIF($K28:$AO28,"A")</f>
        <v>0</v>
      </c>
      <c r="AX28" s="37">
        <f>COUNTIF($K28:$AO28,"L")</f>
        <v>0</v>
      </c>
      <c r="AY28" s="5">
        <f>COUNTIF($K28:$AO28,"WO")</f>
        <v>0</v>
      </c>
      <c r="AZ28" s="5">
        <f>($M$5-$H$5)+1</f>
        <v>30</v>
      </c>
      <c r="BA28" s="41">
        <f>Table1312[[#This Row],[Days]]-Table1312[[#This Row],[Absent]]</f>
        <v>30</v>
      </c>
      <c r="BC28" s="5">
        <f>Table1312[[#This Row],[Salary]]/Table1312[[#This Row],[Days]]</f>
        <v>0</v>
      </c>
      <c r="BD28" s="5">
        <f>Table1312[[#This Row],[Per Day Salary]]*Table1312[[#This Row],[Absent]]</f>
        <v>0</v>
      </c>
      <c r="BE28" s="40">
        <f>Table1312[[#This Row],[Salary]]-Table1312[[#This Row],[Deduction ]]</f>
        <v>0</v>
      </c>
    </row>
  </sheetData>
  <mergeCells count="1">
    <mergeCell ref="G6:I6"/>
  </mergeCells>
  <phoneticPr fontId="2" type="noConversion"/>
  <conditionalFormatting sqref="F5">
    <cfRule type="containsText" dxfId="9" priority="4" operator="containsText" text="P">
      <formula>NOT(ISERROR(SEARCH("P",F5)))</formula>
    </cfRule>
  </conditionalFormatting>
  <conditionalFormatting sqref="K8:AO27">
    <cfRule type="containsText" dxfId="8" priority="1" operator="containsText" text="L">
      <formula>NOT(ISERROR(SEARCH("L",K8)))</formula>
    </cfRule>
    <cfRule type="containsText" dxfId="7" priority="2" operator="containsText" text="A">
      <formula>NOT(ISERROR(SEARCH("A",K8)))</formula>
    </cfRule>
    <cfRule type="containsText" dxfId="6" priority="3" operator="containsText" text="P">
      <formula>NOT(ISERROR(SEARCH("P",K8)))</formula>
    </cfRule>
    <cfRule type="containsText" dxfId="5" priority="5" operator="containsText" text="WO">
      <formula>NOT(ISERROR(SEARCH("WO",K8)))</formula>
    </cfRule>
  </conditionalFormatting>
  <dataValidations count="2">
    <dataValidation type="list" allowBlank="1" showInputMessage="1" showErrorMessage="1" sqref="P8:R27 AO8:AO27 AH8:AM27 AA8:AF27 T8:Y27" xr:uid="{A41A8076-3A32-40C0-8711-FCDFA6A8F84F}">
      <formula1>"P,L,A"</formula1>
    </dataValidation>
    <dataValidation type="list" allowBlank="1" showInputMessage="1" showErrorMessage="1" sqref="AN8:AN27 L8:L27 S8:S27 Z8:Z27 AG8:AG27 AS8" xr:uid="{A8C570F9-A92B-4427-9D42-08F1FF8ABAA2}">
      <formula1>"P,L,A,WO"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A363204-E870-4E9E-BF6B-E2D1084BB163}">
          <x14:formula1>
            <xm:f>Sheet1!$J$2:$J$13</xm:f>
          </x14:formula1>
          <xm:sqref>G5</xm:sqref>
        </x14:dataValidation>
        <x14:dataValidation type="list" allowBlank="1" showInputMessage="1" showErrorMessage="1" xr:uid="{520E1901-70A8-485D-B1CE-DDE931D80E30}">
          <x14:formula1>
            <xm:f>Sheet1!$E$2:$E$13</xm:f>
          </x14:formula1>
          <xm:sqref>I5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0AF05-58FF-4E24-BB49-E76FF86E0B4D}">
  <sheetPr codeName="Sheet13"/>
  <dimension ref="F4:BN28"/>
  <sheetViews>
    <sheetView showGridLines="0" zoomScale="60" zoomScaleNormal="60" workbookViewId="0">
      <selection activeCell="H13" sqref="H13"/>
    </sheetView>
  </sheetViews>
  <sheetFormatPr defaultRowHeight="14.5" x14ac:dyDescent="0.35"/>
  <cols>
    <col min="7" max="7" width="12.54296875" bestFit="1" customWidth="1"/>
    <col min="8" max="8" width="11.7265625" bestFit="1" customWidth="1"/>
    <col min="9" max="9" width="12.26953125" customWidth="1"/>
    <col min="10" max="10" width="8.453125" bestFit="1" customWidth="1"/>
    <col min="11" max="11" width="3.453125" bestFit="1" customWidth="1"/>
    <col min="12" max="12" width="3.7265625" bestFit="1" customWidth="1"/>
    <col min="13" max="13" width="5.54296875" customWidth="1"/>
    <col min="14" max="14" width="3.7265625" bestFit="1" customWidth="1"/>
    <col min="15" max="15" width="4.453125" bestFit="1" customWidth="1"/>
    <col min="16" max="16" width="3.7265625" bestFit="1" customWidth="1"/>
    <col min="17" max="17" width="3.453125" customWidth="1"/>
    <col min="18" max="18" width="3.453125" bestFit="1" customWidth="1"/>
    <col min="19" max="19" width="3.7265625" bestFit="1" customWidth="1"/>
    <col min="20" max="20" width="4.453125" bestFit="1" customWidth="1"/>
    <col min="21" max="21" width="3.7265625" bestFit="1" customWidth="1"/>
    <col min="22" max="22" width="4.453125" bestFit="1" customWidth="1"/>
    <col min="23" max="23" width="3.7265625" bestFit="1" customWidth="1"/>
    <col min="24" max="24" width="3.453125" customWidth="1"/>
    <col min="25" max="25" width="3.453125" bestFit="1" customWidth="1"/>
    <col min="26" max="26" width="3.7265625" bestFit="1" customWidth="1"/>
    <col min="27" max="27" width="4.453125" bestFit="1" customWidth="1"/>
    <col min="28" max="28" width="3.7265625" bestFit="1" customWidth="1"/>
    <col min="29" max="29" width="4.453125" bestFit="1" customWidth="1"/>
    <col min="30" max="30" width="3.7265625" bestFit="1" customWidth="1"/>
    <col min="31" max="31" width="3.90625" customWidth="1"/>
    <col min="32" max="32" width="3.453125" bestFit="1" customWidth="1"/>
    <col min="33" max="33" width="3.7265625" bestFit="1" customWidth="1"/>
    <col min="34" max="34" width="4.453125" bestFit="1" customWidth="1"/>
    <col min="35" max="35" width="3.7265625" bestFit="1" customWidth="1"/>
    <col min="36" max="36" width="4.453125" bestFit="1" customWidth="1"/>
    <col min="37" max="37" width="3.7265625" bestFit="1" customWidth="1"/>
    <col min="38" max="38" width="4.54296875" customWidth="1"/>
    <col min="39" max="39" width="3.453125" bestFit="1" customWidth="1"/>
    <col min="40" max="40" width="4.1796875" bestFit="1" customWidth="1"/>
    <col min="41" max="41" width="5.08984375" customWidth="1"/>
    <col min="45" max="46" width="10.453125" customWidth="1"/>
    <col min="47" max="47" width="12.81640625" customWidth="1"/>
    <col min="48" max="48" width="9.453125" customWidth="1"/>
    <col min="49" max="49" width="8.90625" customWidth="1"/>
    <col min="51" max="51" width="10.453125" customWidth="1"/>
    <col min="53" max="53" width="10.7265625" customWidth="1"/>
    <col min="54" max="54" width="10.7265625" bestFit="1" customWidth="1"/>
    <col min="55" max="55" width="14.36328125" customWidth="1"/>
    <col min="56" max="56" width="12" customWidth="1"/>
    <col min="57" max="57" width="12.54296875" customWidth="1"/>
  </cols>
  <sheetData>
    <row r="4" spans="6:66" x14ac:dyDescent="0.35">
      <c r="F4" s="21"/>
      <c r="G4" s="21"/>
      <c r="H4" s="21"/>
      <c r="I4" s="22">
        <f>G5</f>
        <v>45992</v>
      </c>
      <c r="J4" s="21"/>
      <c r="K4" s="21"/>
      <c r="L4" s="21"/>
    </row>
    <row r="5" spans="6:66" ht="15" thickBot="1" x14ac:dyDescent="0.4">
      <c r="F5" s="21" t="s">
        <v>23</v>
      </c>
      <c r="G5" s="26">
        <v>45992</v>
      </c>
      <c r="H5" s="24">
        <f>G5</f>
        <v>45992</v>
      </c>
      <c r="I5" s="24"/>
      <c r="J5" s="21"/>
      <c r="K5" s="21"/>
      <c r="L5" s="21" t="s">
        <v>25</v>
      </c>
      <c r="M5" s="23">
        <f>EOMONTH(G5,0)</f>
        <v>46022</v>
      </c>
      <c r="O5" s="3"/>
    </row>
    <row r="6" spans="6:66" ht="16.5" thickBot="1" x14ac:dyDescent="0.45">
      <c r="G6" s="50" t="s">
        <v>27</v>
      </c>
      <c r="H6" s="51"/>
      <c r="I6" s="52"/>
      <c r="J6" s="11" t="s">
        <v>26</v>
      </c>
      <c r="K6" s="12" t="str">
        <f>TEXT(K7,"ddd")</f>
        <v>Mon</v>
      </c>
      <c r="L6" s="12" t="str">
        <f t="shared" ref="L6:AN6" si="0">TEXT(L7,"ddd")</f>
        <v>Tue</v>
      </c>
      <c r="M6" s="12" t="str">
        <f t="shared" si="0"/>
        <v>Wed</v>
      </c>
      <c r="N6" s="12" t="str">
        <f t="shared" si="0"/>
        <v>Thu</v>
      </c>
      <c r="O6" s="12" t="str">
        <f t="shared" si="0"/>
        <v>Fri</v>
      </c>
      <c r="P6" s="12" t="str">
        <f t="shared" si="0"/>
        <v>Sat</v>
      </c>
      <c r="Q6" s="12" t="str">
        <f t="shared" si="0"/>
        <v>Sun</v>
      </c>
      <c r="R6" s="12" t="str">
        <f t="shared" si="0"/>
        <v>Mon</v>
      </c>
      <c r="S6" s="12" t="str">
        <f t="shared" si="0"/>
        <v>Tue</v>
      </c>
      <c r="T6" s="12" t="str">
        <f t="shared" si="0"/>
        <v>Wed</v>
      </c>
      <c r="U6" s="12" t="str">
        <f t="shared" si="0"/>
        <v>Thu</v>
      </c>
      <c r="V6" s="12" t="str">
        <f t="shared" si="0"/>
        <v>Fri</v>
      </c>
      <c r="W6" s="12" t="str">
        <f t="shared" si="0"/>
        <v>Sat</v>
      </c>
      <c r="X6" s="12" t="str">
        <f t="shared" si="0"/>
        <v>Sun</v>
      </c>
      <c r="Y6" s="12" t="str">
        <f t="shared" si="0"/>
        <v>Mon</v>
      </c>
      <c r="Z6" s="12" t="str">
        <f t="shared" si="0"/>
        <v>Tue</v>
      </c>
      <c r="AA6" s="12" t="str">
        <f t="shared" si="0"/>
        <v>Wed</v>
      </c>
      <c r="AB6" s="12" t="str">
        <f t="shared" si="0"/>
        <v>Thu</v>
      </c>
      <c r="AC6" s="12" t="str">
        <f t="shared" si="0"/>
        <v>Fri</v>
      </c>
      <c r="AD6" s="12" t="str">
        <f t="shared" si="0"/>
        <v>Sat</v>
      </c>
      <c r="AE6" s="12" t="str">
        <f t="shared" si="0"/>
        <v>Sun</v>
      </c>
      <c r="AF6" s="12" t="str">
        <f t="shared" si="0"/>
        <v>Mon</v>
      </c>
      <c r="AG6" s="12" t="str">
        <f t="shared" si="0"/>
        <v>Tue</v>
      </c>
      <c r="AH6" s="12" t="str">
        <f t="shared" si="0"/>
        <v>Wed</v>
      </c>
      <c r="AI6" s="12" t="str">
        <f t="shared" si="0"/>
        <v>Thu</v>
      </c>
      <c r="AJ6" s="12" t="str">
        <f t="shared" si="0"/>
        <v>Fri</v>
      </c>
      <c r="AK6" s="12" t="str">
        <f t="shared" si="0"/>
        <v>Sat</v>
      </c>
      <c r="AL6" s="12" t="str">
        <f t="shared" si="0"/>
        <v>Sun</v>
      </c>
      <c r="AM6" s="13" t="str">
        <f t="shared" si="0"/>
        <v>Mon</v>
      </c>
      <c r="AN6" s="13" t="str">
        <f t="shared" si="0"/>
        <v>Tue</v>
      </c>
      <c r="AO6" s="14" t="str">
        <f>TEXT(AO7,"ddd")</f>
        <v>Wed</v>
      </c>
    </row>
    <row r="7" spans="6:66" ht="14.25" customHeight="1" x14ac:dyDescent="0.35">
      <c r="G7" s="25" t="s">
        <v>0</v>
      </c>
      <c r="H7" s="25" t="s">
        <v>1</v>
      </c>
      <c r="I7" s="25" t="s">
        <v>2</v>
      </c>
      <c r="J7" s="8" t="s">
        <v>24</v>
      </c>
      <c r="K7" s="9">
        <f>G5</f>
        <v>45992</v>
      </c>
      <c r="L7" s="9">
        <f>IF(K7&lt;$M$5,1+K7,"")</f>
        <v>45993</v>
      </c>
      <c r="M7" s="9">
        <f t="shared" ref="M7:AL7" si="1">IF(L7&lt;$M$5,1+L7,"")</f>
        <v>45994</v>
      </c>
      <c r="N7" s="9">
        <f t="shared" si="1"/>
        <v>45995</v>
      </c>
      <c r="O7" s="9">
        <f t="shared" si="1"/>
        <v>45996</v>
      </c>
      <c r="P7" s="9">
        <f t="shared" si="1"/>
        <v>45997</v>
      </c>
      <c r="Q7" s="9">
        <f t="shared" si="1"/>
        <v>45998</v>
      </c>
      <c r="R7" s="9">
        <f t="shared" si="1"/>
        <v>45999</v>
      </c>
      <c r="S7" s="9">
        <f t="shared" si="1"/>
        <v>46000</v>
      </c>
      <c r="T7" s="9">
        <f t="shared" si="1"/>
        <v>46001</v>
      </c>
      <c r="U7" s="9">
        <f t="shared" si="1"/>
        <v>46002</v>
      </c>
      <c r="V7" s="9">
        <f t="shared" si="1"/>
        <v>46003</v>
      </c>
      <c r="W7" s="9">
        <f t="shared" si="1"/>
        <v>46004</v>
      </c>
      <c r="X7" s="9">
        <f t="shared" si="1"/>
        <v>46005</v>
      </c>
      <c r="Y7" s="9">
        <f t="shared" si="1"/>
        <v>46006</v>
      </c>
      <c r="Z7" s="9">
        <f t="shared" si="1"/>
        <v>46007</v>
      </c>
      <c r="AA7" s="9">
        <f>IF(Z7&lt;$M$5,1+Z7,"")</f>
        <v>46008</v>
      </c>
      <c r="AB7" s="9">
        <f t="shared" si="1"/>
        <v>46009</v>
      </c>
      <c r="AC7" s="9">
        <f t="shared" si="1"/>
        <v>46010</v>
      </c>
      <c r="AD7" s="9">
        <f t="shared" si="1"/>
        <v>46011</v>
      </c>
      <c r="AE7" s="9">
        <f t="shared" si="1"/>
        <v>46012</v>
      </c>
      <c r="AF7" s="9">
        <f t="shared" si="1"/>
        <v>46013</v>
      </c>
      <c r="AG7" s="9">
        <f t="shared" si="1"/>
        <v>46014</v>
      </c>
      <c r="AH7" s="9">
        <f t="shared" si="1"/>
        <v>46015</v>
      </c>
      <c r="AI7" s="9">
        <f t="shared" si="1"/>
        <v>46016</v>
      </c>
      <c r="AJ7" s="9">
        <f t="shared" si="1"/>
        <v>46017</v>
      </c>
      <c r="AK7" s="9">
        <f t="shared" si="1"/>
        <v>46018</v>
      </c>
      <c r="AL7" s="9">
        <f t="shared" si="1"/>
        <v>46019</v>
      </c>
      <c r="AM7" s="9">
        <f>IF(AL7&lt;$M$5,1+AL7,"")</f>
        <v>46020</v>
      </c>
      <c r="AN7" s="9">
        <f>IF(AM7&lt;$M$5,1+AM7,"")</f>
        <v>46021</v>
      </c>
      <c r="AO7" s="10">
        <f>IF(AN7&lt;$M$5,1+AN7,"")</f>
        <v>46022</v>
      </c>
      <c r="AP7" s="5"/>
      <c r="AQ7" s="5"/>
      <c r="AR7" s="18" t="s">
        <v>0</v>
      </c>
      <c r="AS7" s="18" t="s">
        <v>1</v>
      </c>
      <c r="AT7" s="18" t="s">
        <v>72</v>
      </c>
      <c r="AU7" s="18" t="s">
        <v>2</v>
      </c>
      <c r="AV7" s="38" t="s">
        <v>28</v>
      </c>
      <c r="AW7" s="38" t="s">
        <v>29</v>
      </c>
      <c r="AX7" s="38" t="s">
        <v>30</v>
      </c>
      <c r="AY7" s="38" t="s">
        <v>24</v>
      </c>
      <c r="AZ7" s="38" t="s">
        <v>26</v>
      </c>
      <c r="BA7" s="38" t="s">
        <v>31</v>
      </c>
      <c r="BB7" s="38" t="s">
        <v>32</v>
      </c>
      <c r="BC7" s="38" t="s">
        <v>33</v>
      </c>
      <c r="BD7" s="38" t="s">
        <v>34</v>
      </c>
      <c r="BE7" s="38" t="s">
        <v>35</v>
      </c>
      <c r="BF7" s="16"/>
      <c r="BG7" s="5"/>
      <c r="BH7" s="5"/>
      <c r="BI7" s="5"/>
      <c r="BJ7" s="5"/>
      <c r="BK7" s="5"/>
      <c r="BL7" s="5"/>
      <c r="BM7" s="5"/>
      <c r="BN7" s="5"/>
    </row>
    <row r="8" spans="6:66" ht="14.25" customHeight="1" x14ac:dyDescent="0.35">
      <c r="G8" s="7">
        <v>1</v>
      </c>
      <c r="H8" s="27" t="s">
        <v>37</v>
      </c>
      <c r="I8" s="7">
        <v>1001</v>
      </c>
      <c r="J8" s="15">
        <f>COUNTIF(K$6:AO$6,"Sun")</f>
        <v>4</v>
      </c>
      <c r="K8" s="7" t="s">
        <v>36</v>
      </c>
      <c r="L8" s="7" t="s">
        <v>36</v>
      </c>
      <c r="M8" s="7" t="s">
        <v>36</v>
      </c>
      <c r="N8" s="7" t="s">
        <v>36</v>
      </c>
      <c r="O8" s="7" t="s">
        <v>36</v>
      </c>
      <c r="P8" s="7" t="s">
        <v>56</v>
      </c>
      <c r="Q8" s="7" t="s">
        <v>58</v>
      </c>
      <c r="R8" s="7" t="s">
        <v>56</v>
      </c>
      <c r="S8" s="7" t="s">
        <v>56</v>
      </c>
      <c r="T8" s="7" t="s">
        <v>57</v>
      </c>
      <c r="U8" s="7" t="s">
        <v>36</v>
      </c>
      <c r="V8" s="7" t="s">
        <v>36</v>
      </c>
      <c r="W8" s="7" t="s">
        <v>36</v>
      </c>
      <c r="X8" s="7" t="s">
        <v>58</v>
      </c>
      <c r="Y8" s="7" t="s">
        <v>56</v>
      </c>
      <c r="Z8" s="7" t="s">
        <v>57</v>
      </c>
      <c r="AA8" s="7" t="s">
        <v>36</v>
      </c>
      <c r="AB8" s="7" t="s">
        <v>36</v>
      </c>
      <c r="AC8" s="7" t="s">
        <v>36</v>
      </c>
      <c r="AD8" s="7" t="s">
        <v>36</v>
      </c>
      <c r="AE8" s="7" t="s">
        <v>58</v>
      </c>
      <c r="AF8" s="7" t="s">
        <v>36</v>
      </c>
      <c r="AG8" s="7" t="s">
        <v>36</v>
      </c>
      <c r="AH8" s="7" t="s">
        <v>36</v>
      </c>
      <c r="AI8" s="7" t="s">
        <v>36</v>
      </c>
      <c r="AJ8" s="7" t="s">
        <v>36</v>
      </c>
      <c r="AK8" s="7" t="s">
        <v>36</v>
      </c>
      <c r="AL8" s="7" t="s">
        <v>58</v>
      </c>
      <c r="AM8" s="7" t="s">
        <v>56</v>
      </c>
      <c r="AN8" s="7" t="s">
        <v>56</v>
      </c>
      <c r="AO8" s="7" t="s">
        <v>57</v>
      </c>
      <c r="AP8" s="5"/>
      <c r="AQ8" s="5"/>
      <c r="AR8" s="7">
        <v>1</v>
      </c>
      <c r="AS8" s="29" t="s">
        <v>37</v>
      </c>
      <c r="AT8" s="29" t="s">
        <v>60</v>
      </c>
      <c r="AU8" s="7">
        <v>1001</v>
      </c>
      <c r="AV8" s="30">
        <f t="shared" ref="AV8:AV27" si="2">COUNTIF($K8:$AO8,"P")</f>
        <v>18</v>
      </c>
      <c r="AW8" s="30">
        <f>COUNTIF($K8:$AO8,"A")</f>
        <v>6</v>
      </c>
      <c r="AX8" s="30">
        <f t="shared" ref="AX8:AX27" si="3">COUNTIF($K8:$AO8,"L")</f>
        <v>3</v>
      </c>
      <c r="AY8" s="31">
        <f t="shared" ref="AY8:AY27" si="4">COUNTIF($K8:$AO8,"WO")</f>
        <v>4</v>
      </c>
      <c r="AZ8" s="31">
        <f>($M$5-$H$5)+1</f>
        <v>31</v>
      </c>
      <c r="BA8" s="32">
        <f>Table1313[[#This Row],[Days]]-Table1313[[#This Row],[Absent]]</f>
        <v>25</v>
      </c>
      <c r="BB8" s="33">
        <v>4500</v>
      </c>
      <c r="BC8" s="36">
        <f>Table1313[[#This Row],[Salary]]/Table1313[[#This Row],[Days]]</f>
        <v>145.16129032258064</v>
      </c>
      <c r="BD8" s="34">
        <f>Table1313[[#This Row],[Per Day Salary]]*Table1313[[#This Row],[Absent]]</f>
        <v>870.9677419354839</v>
      </c>
      <c r="BE8" s="33">
        <f>Table1313[[#This Row],[Salary]]-Table1313[[#This Row],[Deduction ]]</f>
        <v>3629.0322580645161</v>
      </c>
      <c r="BF8" s="5"/>
      <c r="BG8" s="5"/>
      <c r="BH8" s="5"/>
      <c r="BI8" s="5"/>
      <c r="BJ8" s="5"/>
      <c r="BK8" s="5"/>
      <c r="BL8" s="5"/>
    </row>
    <row r="9" spans="6:66" x14ac:dyDescent="0.35">
      <c r="G9" s="7">
        <v>2</v>
      </c>
      <c r="H9" s="27" t="s">
        <v>38</v>
      </c>
      <c r="I9" s="7">
        <v>1002</v>
      </c>
      <c r="J9" s="15">
        <f t="shared" ref="J9:J27" si="5">COUNTIF(K$6:AO$6,"Sun")</f>
        <v>4</v>
      </c>
      <c r="K9" s="7" t="s">
        <v>36</v>
      </c>
      <c r="L9" s="7" t="s">
        <v>36</v>
      </c>
      <c r="M9" s="7" t="s">
        <v>36</v>
      </c>
      <c r="N9" s="7" t="s">
        <v>36</v>
      </c>
      <c r="O9" s="7" t="s">
        <v>36</v>
      </c>
      <c r="P9" s="7" t="s">
        <v>56</v>
      </c>
      <c r="Q9" s="7" t="s">
        <v>58</v>
      </c>
      <c r="R9" s="7" t="s">
        <v>56</v>
      </c>
      <c r="S9" s="7" t="s">
        <v>56</v>
      </c>
      <c r="T9" s="7" t="s">
        <v>57</v>
      </c>
      <c r="U9" s="7" t="s">
        <v>36</v>
      </c>
      <c r="V9" s="7" t="s">
        <v>36</v>
      </c>
      <c r="W9" s="7" t="s">
        <v>36</v>
      </c>
      <c r="X9" s="7" t="s">
        <v>58</v>
      </c>
      <c r="Y9" s="7" t="s">
        <v>56</v>
      </c>
      <c r="Z9" s="7" t="s">
        <v>57</v>
      </c>
      <c r="AA9" s="7" t="s">
        <v>36</v>
      </c>
      <c r="AB9" s="7" t="s">
        <v>36</v>
      </c>
      <c r="AC9" s="7" t="s">
        <v>36</v>
      </c>
      <c r="AD9" s="7" t="s">
        <v>36</v>
      </c>
      <c r="AE9" s="7" t="s">
        <v>58</v>
      </c>
      <c r="AF9" s="7" t="s">
        <v>36</v>
      </c>
      <c r="AG9" s="7" t="s">
        <v>36</v>
      </c>
      <c r="AH9" s="7" t="s">
        <v>36</v>
      </c>
      <c r="AI9" s="7" t="s">
        <v>36</v>
      </c>
      <c r="AJ9" s="7" t="s">
        <v>36</v>
      </c>
      <c r="AK9" s="7" t="s">
        <v>36</v>
      </c>
      <c r="AL9" s="7" t="s">
        <v>58</v>
      </c>
      <c r="AM9" s="7" t="s">
        <v>56</v>
      </c>
      <c r="AN9" s="7" t="s">
        <v>56</v>
      </c>
      <c r="AO9" s="7" t="s">
        <v>57</v>
      </c>
      <c r="AP9" s="5"/>
      <c r="AQ9" s="5"/>
      <c r="AR9" s="7">
        <v>2</v>
      </c>
      <c r="AS9" s="7" t="s">
        <v>38</v>
      </c>
      <c r="AT9" s="29" t="s">
        <v>60</v>
      </c>
      <c r="AU9" s="7">
        <v>1002</v>
      </c>
      <c r="AV9" s="30">
        <f t="shared" si="2"/>
        <v>18</v>
      </c>
      <c r="AW9" s="30">
        <f>COUNTIF($K9:$AO9,"A")</f>
        <v>6</v>
      </c>
      <c r="AX9" s="35">
        <f t="shared" si="3"/>
        <v>3</v>
      </c>
      <c r="AY9" s="31">
        <f t="shared" si="4"/>
        <v>4</v>
      </c>
      <c r="AZ9" s="31">
        <f t="shared" ref="AZ9:AZ27" si="6">($M$5-$H$5)+1</f>
        <v>31</v>
      </c>
      <c r="BA9" s="32">
        <f>Table1313[[#This Row],[Days]]-Table1313[[#This Row],[Absent]]</f>
        <v>25</v>
      </c>
      <c r="BB9" s="33">
        <v>4600</v>
      </c>
      <c r="BC9" s="36">
        <f>Table1313[[#This Row],[Salary]]/Table1313[[#This Row],[Days]]</f>
        <v>148.38709677419354</v>
      </c>
      <c r="BD9" s="34">
        <f>Table1313[[#This Row],[Per Day Salary]]*Table1313[[#This Row],[Absent]]</f>
        <v>890.32258064516122</v>
      </c>
      <c r="BE9" s="33">
        <f>Table1313[[#This Row],[Salary]]-Table1313[[#This Row],[Deduction ]]</f>
        <v>3709.677419354839</v>
      </c>
      <c r="BF9" s="5"/>
      <c r="BG9" s="5"/>
      <c r="BH9" s="5"/>
      <c r="BI9" s="5"/>
      <c r="BJ9" s="5"/>
      <c r="BK9" s="5"/>
      <c r="BL9" s="5"/>
    </row>
    <row r="10" spans="6:66" x14ac:dyDescent="0.35">
      <c r="G10" s="7">
        <v>3</v>
      </c>
      <c r="H10" s="27" t="s">
        <v>39</v>
      </c>
      <c r="I10" s="7">
        <v>1003</v>
      </c>
      <c r="J10" s="15">
        <f t="shared" si="5"/>
        <v>4</v>
      </c>
      <c r="K10" s="7" t="s">
        <v>36</v>
      </c>
      <c r="L10" s="7" t="s">
        <v>36</v>
      </c>
      <c r="M10" s="7" t="s">
        <v>36</v>
      </c>
      <c r="N10" s="7" t="s">
        <v>36</v>
      </c>
      <c r="O10" s="7" t="s">
        <v>36</v>
      </c>
      <c r="P10" s="7" t="s">
        <v>56</v>
      </c>
      <c r="Q10" s="7" t="s">
        <v>58</v>
      </c>
      <c r="R10" s="7" t="s">
        <v>56</v>
      </c>
      <c r="S10" s="7" t="s">
        <v>56</v>
      </c>
      <c r="T10" s="7" t="s">
        <v>57</v>
      </c>
      <c r="U10" s="7" t="s">
        <v>36</v>
      </c>
      <c r="V10" s="7" t="s">
        <v>36</v>
      </c>
      <c r="W10" s="7" t="s">
        <v>36</v>
      </c>
      <c r="X10" s="7" t="s">
        <v>58</v>
      </c>
      <c r="Y10" s="7" t="s">
        <v>56</v>
      </c>
      <c r="Z10" s="7" t="s">
        <v>57</v>
      </c>
      <c r="AA10" s="7" t="s">
        <v>36</v>
      </c>
      <c r="AB10" s="7" t="s">
        <v>36</v>
      </c>
      <c r="AC10" s="7" t="s">
        <v>36</v>
      </c>
      <c r="AD10" s="7" t="s">
        <v>36</v>
      </c>
      <c r="AE10" s="7" t="s">
        <v>58</v>
      </c>
      <c r="AF10" s="7" t="s">
        <v>36</v>
      </c>
      <c r="AG10" s="7" t="s">
        <v>36</v>
      </c>
      <c r="AH10" s="7" t="s">
        <v>36</v>
      </c>
      <c r="AI10" s="7" t="s">
        <v>36</v>
      </c>
      <c r="AJ10" s="7" t="s">
        <v>36</v>
      </c>
      <c r="AK10" s="7" t="s">
        <v>36</v>
      </c>
      <c r="AL10" s="7" t="s">
        <v>58</v>
      </c>
      <c r="AM10" s="7" t="s">
        <v>56</v>
      </c>
      <c r="AN10" s="7" t="s">
        <v>56</v>
      </c>
      <c r="AO10" s="7" t="s">
        <v>57</v>
      </c>
      <c r="AP10" s="5"/>
      <c r="AQ10" s="5"/>
      <c r="AR10" s="7">
        <v>3</v>
      </c>
      <c r="AS10" s="7" t="s">
        <v>39</v>
      </c>
      <c r="AT10" s="29" t="s">
        <v>60</v>
      </c>
      <c r="AU10" s="7">
        <v>1003</v>
      </c>
      <c r="AV10" s="30">
        <f t="shared" si="2"/>
        <v>18</v>
      </c>
      <c r="AW10" s="30">
        <f t="shared" ref="AW10:AW27" si="7">COUNTIF($K10:$AO10,"A")</f>
        <v>6</v>
      </c>
      <c r="AX10" s="30">
        <f t="shared" si="3"/>
        <v>3</v>
      </c>
      <c r="AY10" s="31">
        <f t="shared" si="4"/>
        <v>4</v>
      </c>
      <c r="AZ10" s="31">
        <f t="shared" si="6"/>
        <v>31</v>
      </c>
      <c r="BA10" s="32">
        <f>Table1313[[#This Row],[Days]]-Table1313[[#This Row],[Absent]]</f>
        <v>25</v>
      </c>
      <c r="BB10" s="33">
        <v>4700</v>
      </c>
      <c r="BC10" s="36">
        <f>Table1313[[#This Row],[Salary]]/Table1313[[#This Row],[Days]]</f>
        <v>151.61290322580646</v>
      </c>
      <c r="BD10" s="34">
        <f>Table1313[[#This Row],[Per Day Salary]]*Table1313[[#This Row],[Absent]]</f>
        <v>909.67741935483878</v>
      </c>
      <c r="BE10" s="33">
        <f>Table1313[[#This Row],[Salary]]-Table1313[[#This Row],[Deduction ]]</f>
        <v>3790.322580645161</v>
      </c>
      <c r="BF10" s="5"/>
      <c r="BG10" s="5"/>
      <c r="BH10" s="5"/>
      <c r="BI10" s="5"/>
      <c r="BJ10" s="5"/>
      <c r="BK10" s="5"/>
      <c r="BL10" s="5"/>
    </row>
    <row r="11" spans="6:66" x14ac:dyDescent="0.35">
      <c r="G11" s="7">
        <v>4</v>
      </c>
      <c r="H11" s="27" t="s">
        <v>59</v>
      </c>
      <c r="I11" s="7">
        <v>1004</v>
      </c>
      <c r="J11" s="15">
        <f t="shared" si="5"/>
        <v>4</v>
      </c>
      <c r="K11" s="7" t="s">
        <v>36</v>
      </c>
      <c r="L11" s="7" t="s">
        <v>36</v>
      </c>
      <c r="M11" s="7" t="s">
        <v>36</v>
      </c>
      <c r="N11" s="7" t="s">
        <v>36</v>
      </c>
      <c r="O11" s="7" t="s">
        <v>36</v>
      </c>
      <c r="P11" s="7" t="s">
        <v>56</v>
      </c>
      <c r="Q11" s="7" t="s">
        <v>58</v>
      </c>
      <c r="R11" s="7" t="s">
        <v>56</v>
      </c>
      <c r="S11" s="7" t="s">
        <v>56</v>
      </c>
      <c r="T11" s="7" t="s">
        <v>57</v>
      </c>
      <c r="U11" s="7" t="s">
        <v>36</v>
      </c>
      <c r="V11" s="7" t="s">
        <v>36</v>
      </c>
      <c r="W11" s="7" t="s">
        <v>36</v>
      </c>
      <c r="X11" s="7" t="s">
        <v>58</v>
      </c>
      <c r="Y11" s="7" t="s">
        <v>56</v>
      </c>
      <c r="Z11" s="7" t="s">
        <v>57</v>
      </c>
      <c r="AA11" s="7" t="s">
        <v>36</v>
      </c>
      <c r="AB11" s="7" t="s">
        <v>36</v>
      </c>
      <c r="AC11" s="7" t="s">
        <v>36</v>
      </c>
      <c r="AD11" s="7" t="s">
        <v>36</v>
      </c>
      <c r="AE11" s="7" t="s">
        <v>58</v>
      </c>
      <c r="AF11" s="7" t="s">
        <v>36</v>
      </c>
      <c r="AG11" s="7" t="s">
        <v>36</v>
      </c>
      <c r="AH11" s="7" t="s">
        <v>36</v>
      </c>
      <c r="AI11" s="7" t="s">
        <v>36</v>
      </c>
      <c r="AJ11" s="7" t="s">
        <v>36</v>
      </c>
      <c r="AK11" s="7" t="s">
        <v>36</v>
      </c>
      <c r="AL11" s="7" t="s">
        <v>58</v>
      </c>
      <c r="AM11" s="7" t="s">
        <v>56</v>
      </c>
      <c r="AN11" s="7" t="s">
        <v>56</v>
      </c>
      <c r="AO11" s="7" t="s">
        <v>57</v>
      </c>
      <c r="AP11" s="5"/>
      <c r="AQ11" s="5"/>
      <c r="AR11" s="7">
        <v>4</v>
      </c>
      <c r="AS11" s="7" t="s">
        <v>59</v>
      </c>
      <c r="AT11" s="29" t="s">
        <v>60</v>
      </c>
      <c r="AU11" s="7">
        <v>1004</v>
      </c>
      <c r="AV11" s="30">
        <f t="shared" si="2"/>
        <v>18</v>
      </c>
      <c r="AW11" s="30">
        <f t="shared" si="7"/>
        <v>6</v>
      </c>
      <c r="AX11" s="30">
        <f t="shared" si="3"/>
        <v>3</v>
      </c>
      <c r="AY11" s="31">
        <f t="shared" si="4"/>
        <v>4</v>
      </c>
      <c r="AZ11" s="31">
        <f t="shared" si="6"/>
        <v>31</v>
      </c>
      <c r="BA11" s="32">
        <f>Table1313[[#This Row],[Days]]-Table1313[[#This Row],[Absent]]</f>
        <v>25</v>
      </c>
      <c r="BB11" s="33">
        <v>4800</v>
      </c>
      <c r="BC11" s="36">
        <f>Table1313[[#This Row],[Salary]]/Table1313[[#This Row],[Days]]</f>
        <v>154.83870967741936</v>
      </c>
      <c r="BD11" s="34">
        <f>Table1313[[#This Row],[Per Day Salary]]*Table1313[[#This Row],[Absent]]</f>
        <v>929.0322580645161</v>
      </c>
      <c r="BE11" s="33">
        <f>Table1313[[#This Row],[Salary]]-Table1313[[#This Row],[Deduction ]]</f>
        <v>3870.9677419354839</v>
      </c>
      <c r="BF11" s="5"/>
      <c r="BG11" s="5"/>
      <c r="BH11" s="5"/>
      <c r="BI11" s="5"/>
      <c r="BJ11" s="5"/>
      <c r="BK11" s="5"/>
      <c r="BL11" s="5"/>
    </row>
    <row r="12" spans="6:66" x14ac:dyDescent="0.35">
      <c r="G12" s="7">
        <v>5</v>
      </c>
      <c r="H12" s="27" t="s">
        <v>40</v>
      </c>
      <c r="I12" s="7">
        <v>1005</v>
      </c>
      <c r="J12" s="15">
        <f t="shared" si="5"/>
        <v>4</v>
      </c>
      <c r="K12" s="7" t="s">
        <v>36</v>
      </c>
      <c r="L12" s="7" t="s">
        <v>36</v>
      </c>
      <c r="M12" s="7" t="s">
        <v>36</v>
      </c>
      <c r="N12" s="7" t="s">
        <v>36</v>
      </c>
      <c r="O12" s="7" t="s">
        <v>36</v>
      </c>
      <c r="P12" s="7" t="s">
        <v>56</v>
      </c>
      <c r="Q12" s="7" t="s">
        <v>58</v>
      </c>
      <c r="R12" s="7" t="s">
        <v>56</v>
      </c>
      <c r="S12" s="7" t="s">
        <v>56</v>
      </c>
      <c r="T12" s="7" t="s">
        <v>57</v>
      </c>
      <c r="U12" s="7" t="s">
        <v>36</v>
      </c>
      <c r="V12" s="7" t="s">
        <v>36</v>
      </c>
      <c r="W12" s="7" t="s">
        <v>36</v>
      </c>
      <c r="X12" s="7" t="s">
        <v>58</v>
      </c>
      <c r="Y12" s="7" t="s">
        <v>56</v>
      </c>
      <c r="Z12" s="7" t="s">
        <v>57</v>
      </c>
      <c r="AA12" s="7" t="s">
        <v>36</v>
      </c>
      <c r="AB12" s="7" t="s">
        <v>36</v>
      </c>
      <c r="AC12" s="7" t="s">
        <v>36</v>
      </c>
      <c r="AD12" s="7" t="s">
        <v>36</v>
      </c>
      <c r="AE12" s="7" t="s">
        <v>58</v>
      </c>
      <c r="AF12" s="7" t="s">
        <v>36</v>
      </c>
      <c r="AG12" s="7" t="s">
        <v>36</v>
      </c>
      <c r="AH12" s="7" t="s">
        <v>36</v>
      </c>
      <c r="AI12" s="7" t="s">
        <v>36</v>
      </c>
      <c r="AJ12" s="7" t="s">
        <v>36</v>
      </c>
      <c r="AK12" s="7" t="s">
        <v>36</v>
      </c>
      <c r="AL12" s="7" t="s">
        <v>58</v>
      </c>
      <c r="AM12" s="7" t="s">
        <v>56</v>
      </c>
      <c r="AN12" s="7" t="s">
        <v>56</v>
      </c>
      <c r="AO12" s="7" t="s">
        <v>57</v>
      </c>
      <c r="AP12" s="5"/>
      <c r="AQ12" s="5"/>
      <c r="AR12" s="7">
        <v>5</v>
      </c>
      <c r="AS12" s="7" t="s">
        <v>40</v>
      </c>
      <c r="AT12" s="29" t="s">
        <v>60</v>
      </c>
      <c r="AU12" s="7">
        <v>1005</v>
      </c>
      <c r="AV12" s="30">
        <f t="shared" si="2"/>
        <v>18</v>
      </c>
      <c r="AW12" s="30">
        <f t="shared" si="7"/>
        <v>6</v>
      </c>
      <c r="AX12" s="30">
        <f t="shared" si="3"/>
        <v>3</v>
      </c>
      <c r="AY12" s="31">
        <f t="shared" si="4"/>
        <v>4</v>
      </c>
      <c r="AZ12" s="31">
        <f t="shared" si="6"/>
        <v>31</v>
      </c>
      <c r="BA12" s="32">
        <f>Table1313[[#This Row],[Days]]-Table1313[[#This Row],[Absent]]</f>
        <v>25</v>
      </c>
      <c r="BB12" s="33">
        <v>4900</v>
      </c>
      <c r="BC12" s="36">
        <f>Table1313[[#This Row],[Salary]]/Table1313[[#This Row],[Days]]</f>
        <v>158.06451612903226</v>
      </c>
      <c r="BD12" s="34">
        <f>Table1313[[#This Row],[Per Day Salary]]*Table1313[[#This Row],[Absent]]</f>
        <v>948.38709677419354</v>
      </c>
      <c r="BE12" s="33">
        <f>Table1313[[#This Row],[Salary]]-Table1313[[#This Row],[Deduction ]]</f>
        <v>3951.6129032258063</v>
      </c>
      <c r="BF12" s="5"/>
      <c r="BG12" s="5"/>
      <c r="BH12" s="5"/>
      <c r="BI12" s="5"/>
      <c r="BJ12" s="5"/>
      <c r="BK12" s="5"/>
      <c r="BL12" s="5"/>
    </row>
    <row r="13" spans="6:66" x14ac:dyDescent="0.35">
      <c r="G13" s="7">
        <v>6</v>
      </c>
      <c r="H13" s="27" t="s">
        <v>41</v>
      </c>
      <c r="I13" s="7">
        <v>1006</v>
      </c>
      <c r="J13" s="15">
        <f t="shared" si="5"/>
        <v>4</v>
      </c>
      <c r="K13" s="7" t="s">
        <v>36</v>
      </c>
      <c r="L13" s="7" t="s">
        <v>36</v>
      </c>
      <c r="M13" s="7" t="s">
        <v>36</v>
      </c>
      <c r="N13" s="7" t="s">
        <v>36</v>
      </c>
      <c r="O13" s="7" t="s">
        <v>36</v>
      </c>
      <c r="P13" s="7" t="s">
        <v>56</v>
      </c>
      <c r="Q13" s="7" t="s">
        <v>58</v>
      </c>
      <c r="R13" s="7" t="s">
        <v>56</v>
      </c>
      <c r="S13" s="7" t="s">
        <v>56</v>
      </c>
      <c r="T13" s="7" t="s">
        <v>57</v>
      </c>
      <c r="U13" s="7" t="s">
        <v>36</v>
      </c>
      <c r="V13" s="7" t="s">
        <v>36</v>
      </c>
      <c r="W13" s="7" t="s">
        <v>36</v>
      </c>
      <c r="X13" s="7" t="s">
        <v>58</v>
      </c>
      <c r="Y13" s="7" t="s">
        <v>56</v>
      </c>
      <c r="Z13" s="7" t="s">
        <v>57</v>
      </c>
      <c r="AA13" s="7" t="s">
        <v>36</v>
      </c>
      <c r="AB13" s="7" t="s">
        <v>36</v>
      </c>
      <c r="AC13" s="7" t="s">
        <v>36</v>
      </c>
      <c r="AD13" s="7" t="s">
        <v>36</v>
      </c>
      <c r="AE13" s="7" t="s">
        <v>58</v>
      </c>
      <c r="AF13" s="7" t="s">
        <v>36</v>
      </c>
      <c r="AG13" s="7" t="s">
        <v>36</v>
      </c>
      <c r="AH13" s="7" t="s">
        <v>36</v>
      </c>
      <c r="AI13" s="7" t="s">
        <v>36</v>
      </c>
      <c r="AJ13" s="7" t="s">
        <v>36</v>
      </c>
      <c r="AK13" s="7" t="s">
        <v>36</v>
      </c>
      <c r="AL13" s="7" t="s">
        <v>58</v>
      </c>
      <c r="AM13" s="7" t="s">
        <v>56</v>
      </c>
      <c r="AN13" s="7" t="s">
        <v>56</v>
      </c>
      <c r="AO13" s="7" t="s">
        <v>57</v>
      </c>
      <c r="AP13" s="5"/>
      <c r="AQ13" s="5"/>
      <c r="AR13" s="7">
        <v>6</v>
      </c>
      <c r="AS13" s="7" t="s">
        <v>41</v>
      </c>
      <c r="AT13" s="29" t="s">
        <v>60</v>
      </c>
      <c r="AU13" s="7">
        <v>1006</v>
      </c>
      <c r="AV13" s="30">
        <f t="shared" si="2"/>
        <v>18</v>
      </c>
      <c r="AW13" s="30">
        <f t="shared" si="7"/>
        <v>6</v>
      </c>
      <c r="AX13" s="30">
        <f t="shared" si="3"/>
        <v>3</v>
      </c>
      <c r="AY13" s="31">
        <f t="shared" si="4"/>
        <v>4</v>
      </c>
      <c r="AZ13" s="31">
        <f t="shared" si="6"/>
        <v>31</v>
      </c>
      <c r="BA13" s="32">
        <f>Table1313[[#This Row],[Days]]-Table1313[[#This Row],[Absent]]</f>
        <v>25</v>
      </c>
      <c r="BB13" s="33">
        <v>5000</v>
      </c>
      <c r="BC13" s="36">
        <f>Table1313[[#This Row],[Salary]]/Table1313[[#This Row],[Days]]</f>
        <v>161.29032258064515</v>
      </c>
      <c r="BD13" s="34">
        <f>Table1313[[#This Row],[Per Day Salary]]*Table1313[[#This Row],[Absent]]</f>
        <v>967.74193548387098</v>
      </c>
      <c r="BE13" s="33">
        <f>Table1313[[#This Row],[Salary]]-Table1313[[#This Row],[Deduction ]]</f>
        <v>4032.2580645161288</v>
      </c>
      <c r="BF13" s="5"/>
      <c r="BG13" s="5"/>
      <c r="BH13" s="5"/>
      <c r="BI13" s="5"/>
      <c r="BJ13" s="5"/>
      <c r="BK13" s="5"/>
      <c r="BL13" s="5"/>
    </row>
    <row r="14" spans="6:66" x14ac:dyDescent="0.35">
      <c r="G14" s="7">
        <v>7</v>
      </c>
      <c r="H14" s="27" t="s">
        <v>42</v>
      </c>
      <c r="I14" s="7">
        <v>1007</v>
      </c>
      <c r="J14" s="15">
        <f t="shared" si="5"/>
        <v>4</v>
      </c>
      <c r="K14" s="7" t="s">
        <v>36</v>
      </c>
      <c r="L14" s="7" t="s">
        <v>36</v>
      </c>
      <c r="M14" s="7" t="s">
        <v>36</v>
      </c>
      <c r="N14" s="7" t="s">
        <v>36</v>
      </c>
      <c r="O14" s="7" t="s">
        <v>36</v>
      </c>
      <c r="P14" s="7" t="s">
        <v>56</v>
      </c>
      <c r="Q14" s="7" t="s">
        <v>58</v>
      </c>
      <c r="R14" s="7" t="s">
        <v>56</v>
      </c>
      <c r="S14" s="7" t="s">
        <v>56</v>
      </c>
      <c r="T14" s="7" t="s">
        <v>57</v>
      </c>
      <c r="U14" s="7" t="s">
        <v>36</v>
      </c>
      <c r="V14" s="7" t="s">
        <v>36</v>
      </c>
      <c r="W14" s="7" t="s">
        <v>36</v>
      </c>
      <c r="X14" s="7" t="s">
        <v>58</v>
      </c>
      <c r="Y14" s="7" t="s">
        <v>56</v>
      </c>
      <c r="Z14" s="7" t="s">
        <v>57</v>
      </c>
      <c r="AA14" s="7" t="s">
        <v>36</v>
      </c>
      <c r="AB14" s="7" t="s">
        <v>36</v>
      </c>
      <c r="AC14" s="7" t="s">
        <v>36</v>
      </c>
      <c r="AD14" s="7" t="s">
        <v>36</v>
      </c>
      <c r="AE14" s="7" t="s">
        <v>58</v>
      </c>
      <c r="AF14" s="7" t="s">
        <v>36</v>
      </c>
      <c r="AG14" s="7" t="s">
        <v>36</v>
      </c>
      <c r="AH14" s="7" t="s">
        <v>36</v>
      </c>
      <c r="AI14" s="7" t="s">
        <v>36</v>
      </c>
      <c r="AJ14" s="7" t="s">
        <v>36</v>
      </c>
      <c r="AK14" s="7" t="s">
        <v>36</v>
      </c>
      <c r="AL14" s="7" t="s">
        <v>58</v>
      </c>
      <c r="AM14" s="7" t="s">
        <v>56</v>
      </c>
      <c r="AN14" s="7" t="s">
        <v>56</v>
      </c>
      <c r="AO14" s="7" t="s">
        <v>57</v>
      </c>
      <c r="AR14" s="7">
        <v>7</v>
      </c>
      <c r="AS14" s="7" t="s">
        <v>42</v>
      </c>
      <c r="AT14" s="29" t="s">
        <v>60</v>
      </c>
      <c r="AU14" s="7">
        <v>1007</v>
      </c>
      <c r="AV14" s="30">
        <f t="shared" si="2"/>
        <v>18</v>
      </c>
      <c r="AW14" s="30">
        <f t="shared" si="7"/>
        <v>6</v>
      </c>
      <c r="AX14" s="30">
        <f t="shared" si="3"/>
        <v>3</v>
      </c>
      <c r="AY14" s="31">
        <f t="shared" si="4"/>
        <v>4</v>
      </c>
      <c r="AZ14" s="31">
        <f t="shared" si="6"/>
        <v>31</v>
      </c>
      <c r="BA14" s="32">
        <f>Table1313[[#This Row],[Days]]-Table1313[[#This Row],[Absent]]</f>
        <v>25</v>
      </c>
      <c r="BB14" s="33">
        <v>5100</v>
      </c>
      <c r="BC14" s="36">
        <f>Table1313[[#This Row],[Salary]]/Table1313[[#This Row],[Days]]</f>
        <v>164.51612903225808</v>
      </c>
      <c r="BD14" s="34">
        <f>Table1313[[#This Row],[Per Day Salary]]*Table1313[[#This Row],[Absent]]</f>
        <v>987.09677419354853</v>
      </c>
      <c r="BE14" s="33">
        <f>Table1313[[#This Row],[Salary]]-Table1313[[#This Row],[Deduction ]]</f>
        <v>4112.9032258064517</v>
      </c>
    </row>
    <row r="15" spans="6:66" x14ac:dyDescent="0.35">
      <c r="G15" s="7">
        <v>8</v>
      </c>
      <c r="H15" s="27" t="s">
        <v>43</v>
      </c>
      <c r="I15" s="7">
        <v>1008</v>
      </c>
      <c r="J15" s="15">
        <f t="shared" si="5"/>
        <v>4</v>
      </c>
      <c r="K15" s="7" t="s">
        <v>36</v>
      </c>
      <c r="L15" s="7" t="s">
        <v>36</v>
      </c>
      <c r="M15" s="7" t="s">
        <v>36</v>
      </c>
      <c r="N15" s="7" t="s">
        <v>36</v>
      </c>
      <c r="O15" s="7" t="s">
        <v>36</v>
      </c>
      <c r="P15" s="7" t="s">
        <v>56</v>
      </c>
      <c r="Q15" s="7" t="s">
        <v>58</v>
      </c>
      <c r="R15" s="7" t="s">
        <v>56</v>
      </c>
      <c r="S15" s="7" t="s">
        <v>56</v>
      </c>
      <c r="T15" s="7" t="s">
        <v>57</v>
      </c>
      <c r="U15" s="7" t="s">
        <v>36</v>
      </c>
      <c r="V15" s="7" t="s">
        <v>36</v>
      </c>
      <c r="W15" s="7" t="s">
        <v>36</v>
      </c>
      <c r="X15" s="7" t="s">
        <v>58</v>
      </c>
      <c r="Y15" s="7" t="s">
        <v>56</v>
      </c>
      <c r="Z15" s="7" t="s">
        <v>57</v>
      </c>
      <c r="AA15" s="7" t="s">
        <v>36</v>
      </c>
      <c r="AB15" s="7" t="s">
        <v>36</v>
      </c>
      <c r="AC15" s="7" t="s">
        <v>36</v>
      </c>
      <c r="AD15" s="7" t="s">
        <v>36</v>
      </c>
      <c r="AE15" s="7" t="s">
        <v>58</v>
      </c>
      <c r="AF15" s="7" t="s">
        <v>36</v>
      </c>
      <c r="AG15" s="7" t="s">
        <v>36</v>
      </c>
      <c r="AH15" s="7" t="s">
        <v>36</v>
      </c>
      <c r="AI15" s="7" t="s">
        <v>36</v>
      </c>
      <c r="AJ15" s="7" t="s">
        <v>36</v>
      </c>
      <c r="AK15" s="7" t="s">
        <v>36</v>
      </c>
      <c r="AL15" s="7" t="s">
        <v>58</v>
      </c>
      <c r="AM15" s="7" t="s">
        <v>56</v>
      </c>
      <c r="AN15" s="7" t="s">
        <v>56</v>
      </c>
      <c r="AO15" s="7" t="s">
        <v>57</v>
      </c>
      <c r="AR15" s="7">
        <v>8</v>
      </c>
      <c r="AS15" s="7" t="s">
        <v>43</v>
      </c>
      <c r="AT15" s="29" t="s">
        <v>60</v>
      </c>
      <c r="AU15" s="7">
        <v>1008</v>
      </c>
      <c r="AV15" s="30">
        <f t="shared" si="2"/>
        <v>18</v>
      </c>
      <c r="AW15" s="30">
        <f t="shared" si="7"/>
        <v>6</v>
      </c>
      <c r="AX15" s="30">
        <f t="shared" si="3"/>
        <v>3</v>
      </c>
      <c r="AY15" s="31">
        <f t="shared" si="4"/>
        <v>4</v>
      </c>
      <c r="AZ15" s="31">
        <f t="shared" si="6"/>
        <v>31</v>
      </c>
      <c r="BA15" s="32">
        <f>Table1313[[#This Row],[Days]]-Table1313[[#This Row],[Absent]]</f>
        <v>25</v>
      </c>
      <c r="BB15" s="33">
        <v>5200</v>
      </c>
      <c r="BC15" s="36">
        <f>Table1313[[#This Row],[Salary]]/Table1313[[#This Row],[Days]]</f>
        <v>167.74193548387098</v>
      </c>
      <c r="BD15" s="34">
        <f>Table1313[[#This Row],[Per Day Salary]]*Table1313[[#This Row],[Absent]]</f>
        <v>1006.4516129032259</v>
      </c>
      <c r="BE15" s="33">
        <f>Table1313[[#This Row],[Salary]]-Table1313[[#This Row],[Deduction ]]</f>
        <v>4193.5483870967746</v>
      </c>
    </row>
    <row r="16" spans="6:66" ht="15" thickBot="1" x14ac:dyDescent="0.4">
      <c r="G16" s="7">
        <v>9</v>
      </c>
      <c r="H16" s="27" t="s">
        <v>44</v>
      </c>
      <c r="I16" s="7">
        <v>1009</v>
      </c>
      <c r="J16" s="15">
        <f t="shared" si="5"/>
        <v>4</v>
      </c>
      <c r="K16" s="7" t="s">
        <v>36</v>
      </c>
      <c r="L16" s="7" t="s">
        <v>36</v>
      </c>
      <c r="M16" s="7" t="s">
        <v>36</v>
      </c>
      <c r="N16" s="7" t="s">
        <v>36</v>
      </c>
      <c r="O16" s="7" t="s">
        <v>36</v>
      </c>
      <c r="P16" s="7" t="s">
        <v>56</v>
      </c>
      <c r="Q16" s="7" t="s">
        <v>58</v>
      </c>
      <c r="R16" s="7" t="s">
        <v>56</v>
      </c>
      <c r="S16" s="7" t="s">
        <v>56</v>
      </c>
      <c r="T16" s="7" t="s">
        <v>57</v>
      </c>
      <c r="U16" s="7" t="s">
        <v>36</v>
      </c>
      <c r="V16" s="7" t="s">
        <v>36</v>
      </c>
      <c r="W16" s="7" t="s">
        <v>36</v>
      </c>
      <c r="X16" s="7" t="s">
        <v>58</v>
      </c>
      <c r="Y16" s="7" t="s">
        <v>56</v>
      </c>
      <c r="Z16" s="7" t="s">
        <v>57</v>
      </c>
      <c r="AA16" s="7" t="s">
        <v>36</v>
      </c>
      <c r="AB16" s="7" t="s">
        <v>36</v>
      </c>
      <c r="AC16" s="7" t="s">
        <v>36</v>
      </c>
      <c r="AD16" s="7" t="s">
        <v>36</v>
      </c>
      <c r="AE16" s="7" t="s">
        <v>58</v>
      </c>
      <c r="AF16" s="7" t="s">
        <v>36</v>
      </c>
      <c r="AG16" s="7" t="s">
        <v>36</v>
      </c>
      <c r="AH16" s="7" t="s">
        <v>36</v>
      </c>
      <c r="AI16" s="7" t="s">
        <v>36</v>
      </c>
      <c r="AJ16" s="7" t="s">
        <v>36</v>
      </c>
      <c r="AK16" s="7" t="s">
        <v>36</v>
      </c>
      <c r="AL16" s="7" t="s">
        <v>58</v>
      </c>
      <c r="AM16" s="7" t="s">
        <v>56</v>
      </c>
      <c r="AN16" s="7" t="s">
        <v>56</v>
      </c>
      <c r="AO16" s="7" t="s">
        <v>57</v>
      </c>
      <c r="AR16" s="7">
        <v>9</v>
      </c>
      <c r="AS16" s="7" t="s">
        <v>44</v>
      </c>
      <c r="AT16" s="29" t="s">
        <v>60</v>
      </c>
      <c r="AU16" s="7">
        <v>1009</v>
      </c>
      <c r="AV16" s="30">
        <f t="shared" si="2"/>
        <v>18</v>
      </c>
      <c r="AW16" s="30">
        <f t="shared" si="7"/>
        <v>6</v>
      </c>
      <c r="AX16" s="30">
        <f t="shared" si="3"/>
        <v>3</v>
      </c>
      <c r="AY16" s="31">
        <f t="shared" si="4"/>
        <v>4</v>
      </c>
      <c r="AZ16" s="31">
        <f t="shared" si="6"/>
        <v>31</v>
      </c>
      <c r="BA16" s="32">
        <f>Table1313[[#This Row],[Days]]-Table1313[[#This Row],[Absent]]</f>
        <v>25</v>
      </c>
      <c r="BB16" s="33">
        <v>5300</v>
      </c>
      <c r="BC16" s="36">
        <f>Table1313[[#This Row],[Salary]]/Table1313[[#This Row],[Days]]</f>
        <v>170.96774193548387</v>
      </c>
      <c r="BD16" s="34">
        <f>Table1313[[#This Row],[Per Day Salary]]*Table1313[[#This Row],[Absent]]</f>
        <v>1025.8064516129032</v>
      </c>
      <c r="BE16" s="33">
        <f>Table1313[[#This Row],[Salary]]-Table1313[[#This Row],[Deduction ]]</f>
        <v>4274.1935483870966</v>
      </c>
    </row>
    <row r="17" spans="7:60" ht="14.15" customHeight="1" thickBot="1" x14ac:dyDescent="0.4">
      <c r="G17" s="7">
        <v>10</v>
      </c>
      <c r="H17" s="27" t="s">
        <v>45</v>
      </c>
      <c r="I17" s="7">
        <v>1010</v>
      </c>
      <c r="J17" s="15">
        <f t="shared" si="5"/>
        <v>4</v>
      </c>
      <c r="K17" s="7" t="s">
        <v>36</v>
      </c>
      <c r="L17" s="7" t="s">
        <v>36</v>
      </c>
      <c r="M17" s="7" t="s">
        <v>36</v>
      </c>
      <c r="N17" s="7" t="s">
        <v>36</v>
      </c>
      <c r="O17" s="7" t="s">
        <v>36</v>
      </c>
      <c r="P17" s="7" t="s">
        <v>56</v>
      </c>
      <c r="Q17" s="7" t="s">
        <v>58</v>
      </c>
      <c r="R17" s="7" t="s">
        <v>56</v>
      </c>
      <c r="S17" s="7" t="s">
        <v>56</v>
      </c>
      <c r="T17" s="7" t="s">
        <v>57</v>
      </c>
      <c r="U17" s="7" t="s">
        <v>36</v>
      </c>
      <c r="V17" s="7" t="s">
        <v>36</v>
      </c>
      <c r="W17" s="7" t="s">
        <v>36</v>
      </c>
      <c r="X17" s="7" t="s">
        <v>58</v>
      </c>
      <c r="Y17" s="7" t="s">
        <v>56</v>
      </c>
      <c r="Z17" s="7" t="s">
        <v>57</v>
      </c>
      <c r="AA17" s="7" t="s">
        <v>36</v>
      </c>
      <c r="AB17" s="7" t="s">
        <v>36</v>
      </c>
      <c r="AC17" s="7" t="s">
        <v>36</v>
      </c>
      <c r="AD17" s="7" t="s">
        <v>36</v>
      </c>
      <c r="AE17" s="7" t="s">
        <v>58</v>
      </c>
      <c r="AF17" s="7" t="s">
        <v>36</v>
      </c>
      <c r="AG17" s="7" t="s">
        <v>36</v>
      </c>
      <c r="AH17" s="7" t="s">
        <v>36</v>
      </c>
      <c r="AI17" s="7" t="s">
        <v>36</v>
      </c>
      <c r="AJ17" s="7" t="s">
        <v>36</v>
      </c>
      <c r="AK17" s="7" t="s">
        <v>36</v>
      </c>
      <c r="AL17" s="7" t="s">
        <v>58</v>
      </c>
      <c r="AM17" s="7" t="s">
        <v>56</v>
      </c>
      <c r="AN17" s="7" t="s">
        <v>56</v>
      </c>
      <c r="AO17" s="7" t="s">
        <v>57</v>
      </c>
      <c r="AR17" s="7">
        <v>10</v>
      </c>
      <c r="AS17" s="7" t="s">
        <v>45</v>
      </c>
      <c r="AT17" s="29" t="s">
        <v>60</v>
      </c>
      <c r="AU17" s="7">
        <v>1010</v>
      </c>
      <c r="AV17" s="30">
        <f t="shared" si="2"/>
        <v>18</v>
      </c>
      <c r="AW17" s="30">
        <f t="shared" si="7"/>
        <v>6</v>
      </c>
      <c r="AX17" s="30">
        <f t="shared" si="3"/>
        <v>3</v>
      </c>
      <c r="AY17" s="31">
        <f t="shared" si="4"/>
        <v>4</v>
      </c>
      <c r="AZ17" s="31">
        <f t="shared" si="6"/>
        <v>31</v>
      </c>
      <c r="BA17" s="32">
        <f>Table1313[[#This Row],[Days]]-Table1313[[#This Row],[Absent]]</f>
        <v>25</v>
      </c>
      <c r="BB17" s="33">
        <v>5400</v>
      </c>
      <c r="BC17" s="36">
        <f>Table1313[[#This Row],[Salary]]/Table1313[[#This Row],[Days]]</f>
        <v>174.19354838709677</v>
      </c>
      <c r="BD17" s="34">
        <f>Table1313[[#This Row],[Per Day Salary]]*Table1313[[#This Row],[Absent]]</f>
        <v>1045.1612903225805</v>
      </c>
      <c r="BE17" s="33">
        <f>Table1313[[#This Row],[Salary]]-Table1313[[#This Row],[Deduction ]]</f>
        <v>4354.8387096774195</v>
      </c>
      <c r="BH17" s="19"/>
    </row>
    <row r="18" spans="7:60" x14ac:dyDescent="0.35">
      <c r="G18" s="7">
        <v>11</v>
      </c>
      <c r="H18" s="27" t="s">
        <v>46</v>
      </c>
      <c r="I18" s="7">
        <v>1011</v>
      </c>
      <c r="J18" s="15">
        <f t="shared" si="5"/>
        <v>4</v>
      </c>
      <c r="K18" s="7" t="s">
        <v>36</v>
      </c>
      <c r="L18" s="7" t="s">
        <v>36</v>
      </c>
      <c r="M18" s="7" t="s">
        <v>36</v>
      </c>
      <c r="N18" s="7" t="s">
        <v>36</v>
      </c>
      <c r="O18" s="7" t="s">
        <v>36</v>
      </c>
      <c r="P18" s="7" t="s">
        <v>56</v>
      </c>
      <c r="Q18" s="7" t="s">
        <v>58</v>
      </c>
      <c r="R18" s="7" t="s">
        <v>56</v>
      </c>
      <c r="S18" s="7" t="s">
        <v>56</v>
      </c>
      <c r="T18" s="7" t="s">
        <v>57</v>
      </c>
      <c r="U18" s="7" t="s">
        <v>36</v>
      </c>
      <c r="V18" s="7" t="s">
        <v>36</v>
      </c>
      <c r="W18" s="7" t="s">
        <v>36</v>
      </c>
      <c r="X18" s="7" t="s">
        <v>58</v>
      </c>
      <c r="Y18" s="7" t="s">
        <v>56</v>
      </c>
      <c r="Z18" s="7" t="s">
        <v>57</v>
      </c>
      <c r="AA18" s="7" t="s">
        <v>36</v>
      </c>
      <c r="AB18" s="7" t="s">
        <v>36</v>
      </c>
      <c r="AC18" s="7" t="s">
        <v>36</v>
      </c>
      <c r="AD18" s="7" t="s">
        <v>36</v>
      </c>
      <c r="AE18" s="7" t="s">
        <v>58</v>
      </c>
      <c r="AF18" s="7" t="s">
        <v>36</v>
      </c>
      <c r="AG18" s="7" t="s">
        <v>36</v>
      </c>
      <c r="AH18" s="7" t="s">
        <v>36</v>
      </c>
      <c r="AI18" s="7" t="s">
        <v>36</v>
      </c>
      <c r="AJ18" s="7" t="s">
        <v>36</v>
      </c>
      <c r="AK18" s="7" t="s">
        <v>36</v>
      </c>
      <c r="AL18" s="7" t="s">
        <v>58</v>
      </c>
      <c r="AM18" s="7" t="s">
        <v>56</v>
      </c>
      <c r="AN18" s="7" t="s">
        <v>56</v>
      </c>
      <c r="AO18" s="7" t="s">
        <v>57</v>
      </c>
      <c r="AR18" s="7">
        <v>11</v>
      </c>
      <c r="AS18" s="7" t="s">
        <v>46</v>
      </c>
      <c r="AT18" s="29" t="s">
        <v>60</v>
      </c>
      <c r="AU18" s="7">
        <v>1011</v>
      </c>
      <c r="AV18" s="30">
        <f t="shared" si="2"/>
        <v>18</v>
      </c>
      <c r="AW18" s="30">
        <f t="shared" si="7"/>
        <v>6</v>
      </c>
      <c r="AX18" s="30">
        <f t="shared" si="3"/>
        <v>3</v>
      </c>
      <c r="AY18" s="31">
        <f t="shared" si="4"/>
        <v>4</v>
      </c>
      <c r="AZ18" s="31">
        <f t="shared" si="6"/>
        <v>31</v>
      </c>
      <c r="BA18" s="32">
        <f>Table1313[[#This Row],[Days]]-Table1313[[#This Row],[Absent]]</f>
        <v>25</v>
      </c>
      <c r="BB18" s="33">
        <v>5500</v>
      </c>
      <c r="BC18" s="36">
        <f>Table1313[[#This Row],[Salary]]/Table1313[[#This Row],[Days]]</f>
        <v>177.41935483870967</v>
      </c>
      <c r="BD18" s="34">
        <f>Table1313[[#This Row],[Per Day Salary]]*Table1313[[#This Row],[Absent]]</f>
        <v>1064.516129032258</v>
      </c>
      <c r="BE18" s="33">
        <f>Table1313[[#This Row],[Salary]]-Table1313[[#This Row],[Deduction ]]</f>
        <v>4435.4838709677424</v>
      </c>
    </row>
    <row r="19" spans="7:60" x14ac:dyDescent="0.35">
      <c r="G19" s="7">
        <v>12</v>
      </c>
      <c r="H19" s="27" t="s">
        <v>47</v>
      </c>
      <c r="I19" s="7">
        <v>1012</v>
      </c>
      <c r="J19" s="15">
        <f t="shared" si="5"/>
        <v>4</v>
      </c>
      <c r="K19" s="7" t="s">
        <v>36</v>
      </c>
      <c r="L19" s="7" t="s">
        <v>36</v>
      </c>
      <c r="M19" s="7" t="s">
        <v>36</v>
      </c>
      <c r="N19" s="7" t="s">
        <v>36</v>
      </c>
      <c r="O19" s="7" t="s">
        <v>36</v>
      </c>
      <c r="P19" s="7" t="s">
        <v>56</v>
      </c>
      <c r="Q19" s="7" t="s">
        <v>58</v>
      </c>
      <c r="R19" s="7" t="s">
        <v>56</v>
      </c>
      <c r="S19" s="7" t="s">
        <v>56</v>
      </c>
      <c r="T19" s="7" t="s">
        <v>57</v>
      </c>
      <c r="U19" s="7" t="s">
        <v>36</v>
      </c>
      <c r="V19" s="7" t="s">
        <v>36</v>
      </c>
      <c r="W19" s="7" t="s">
        <v>36</v>
      </c>
      <c r="X19" s="7" t="s">
        <v>58</v>
      </c>
      <c r="Y19" s="7" t="s">
        <v>56</v>
      </c>
      <c r="Z19" s="7" t="s">
        <v>57</v>
      </c>
      <c r="AA19" s="7" t="s">
        <v>36</v>
      </c>
      <c r="AB19" s="7" t="s">
        <v>36</v>
      </c>
      <c r="AC19" s="7" t="s">
        <v>36</v>
      </c>
      <c r="AD19" s="7" t="s">
        <v>36</v>
      </c>
      <c r="AE19" s="7" t="s">
        <v>58</v>
      </c>
      <c r="AF19" s="7" t="s">
        <v>36</v>
      </c>
      <c r="AG19" s="7" t="s">
        <v>36</v>
      </c>
      <c r="AH19" s="7" t="s">
        <v>36</v>
      </c>
      <c r="AI19" s="7" t="s">
        <v>36</v>
      </c>
      <c r="AJ19" s="7" t="s">
        <v>36</v>
      </c>
      <c r="AK19" s="7" t="s">
        <v>36</v>
      </c>
      <c r="AL19" s="7" t="s">
        <v>58</v>
      </c>
      <c r="AM19" s="7" t="s">
        <v>56</v>
      </c>
      <c r="AN19" s="7" t="s">
        <v>56</v>
      </c>
      <c r="AO19" s="7" t="s">
        <v>57</v>
      </c>
      <c r="AR19" s="7">
        <v>12</v>
      </c>
      <c r="AS19" s="7" t="s">
        <v>47</v>
      </c>
      <c r="AT19" s="29" t="s">
        <v>60</v>
      </c>
      <c r="AU19" s="7">
        <v>1012</v>
      </c>
      <c r="AV19" s="30">
        <f t="shared" si="2"/>
        <v>18</v>
      </c>
      <c r="AW19" s="30">
        <f t="shared" si="7"/>
        <v>6</v>
      </c>
      <c r="AX19" s="30">
        <f t="shared" si="3"/>
        <v>3</v>
      </c>
      <c r="AY19" s="31">
        <f t="shared" si="4"/>
        <v>4</v>
      </c>
      <c r="AZ19" s="31">
        <f t="shared" si="6"/>
        <v>31</v>
      </c>
      <c r="BA19" s="32">
        <f>Table1313[[#This Row],[Days]]-Table1313[[#This Row],[Absent]]</f>
        <v>25</v>
      </c>
      <c r="BB19" s="33">
        <v>5600</v>
      </c>
      <c r="BC19" s="36">
        <f>Table1313[[#This Row],[Salary]]/Table1313[[#This Row],[Days]]</f>
        <v>180.64516129032259</v>
      </c>
      <c r="BD19" s="34">
        <f>Table1313[[#This Row],[Per Day Salary]]*Table1313[[#This Row],[Absent]]</f>
        <v>1083.8709677419356</v>
      </c>
      <c r="BE19" s="33">
        <f>Table1313[[#This Row],[Salary]]-Table1313[[#This Row],[Deduction ]]</f>
        <v>4516.1290322580644</v>
      </c>
    </row>
    <row r="20" spans="7:60" x14ac:dyDescent="0.35">
      <c r="G20" s="7">
        <v>13</v>
      </c>
      <c r="H20" s="27" t="s">
        <v>48</v>
      </c>
      <c r="I20" s="7">
        <v>1013</v>
      </c>
      <c r="J20" s="15">
        <f t="shared" si="5"/>
        <v>4</v>
      </c>
      <c r="K20" s="7" t="s">
        <v>36</v>
      </c>
      <c r="L20" s="7" t="s">
        <v>36</v>
      </c>
      <c r="M20" s="7" t="s">
        <v>36</v>
      </c>
      <c r="N20" s="7" t="s">
        <v>36</v>
      </c>
      <c r="O20" s="7" t="s">
        <v>36</v>
      </c>
      <c r="P20" s="7" t="s">
        <v>56</v>
      </c>
      <c r="Q20" s="7" t="s">
        <v>58</v>
      </c>
      <c r="R20" s="7" t="s">
        <v>56</v>
      </c>
      <c r="S20" s="7" t="s">
        <v>56</v>
      </c>
      <c r="T20" s="7" t="s">
        <v>57</v>
      </c>
      <c r="U20" s="7" t="s">
        <v>36</v>
      </c>
      <c r="V20" s="7" t="s">
        <v>36</v>
      </c>
      <c r="W20" s="7" t="s">
        <v>36</v>
      </c>
      <c r="X20" s="7" t="s">
        <v>58</v>
      </c>
      <c r="Y20" s="7" t="s">
        <v>56</v>
      </c>
      <c r="Z20" s="7" t="s">
        <v>57</v>
      </c>
      <c r="AA20" s="7" t="s">
        <v>36</v>
      </c>
      <c r="AB20" s="7" t="s">
        <v>36</v>
      </c>
      <c r="AC20" s="7" t="s">
        <v>36</v>
      </c>
      <c r="AD20" s="7" t="s">
        <v>36</v>
      </c>
      <c r="AE20" s="7" t="s">
        <v>58</v>
      </c>
      <c r="AF20" s="7" t="s">
        <v>36</v>
      </c>
      <c r="AG20" s="7" t="s">
        <v>36</v>
      </c>
      <c r="AH20" s="7" t="s">
        <v>36</v>
      </c>
      <c r="AI20" s="7" t="s">
        <v>36</v>
      </c>
      <c r="AJ20" s="7" t="s">
        <v>36</v>
      </c>
      <c r="AK20" s="7" t="s">
        <v>36</v>
      </c>
      <c r="AL20" s="7" t="s">
        <v>58</v>
      </c>
      <c r="AM20" s="7" t="s">
        <v>56</v>
      </c>
      <c r="AN20" s="7" t="s">
        <v>56</v>
      </c>
      <c r="AO20" s="7" t="s">
        <v>57</v>
      </c>
      <c r="AR20" s="7">
        <v>13</v>
      </c>
      <c r="AS20" s="7" t="s">
        <v>48</v>
      </c>
      <c r="AT20" s="29" t="s">
        <v>60</v>
      </c>
      <c r="AU20" s="7">
        <v>1013</v>
      </c>
      <c r="AV20" s="30">
        <f t="shared" si="2"/>
        <v>18</v>
      </c>
      <c r="AW20" s="30">
        <f t="shared" si="7"/>
        <v>6</v>
      </c>
      <c r="AX20" s="30">
        <f t="shared" si="3"/>
        <v>3</v>
      </c>
      <c r="AY20" s="31">
        <f t="shared" si="4"/>
        <v>4</v>
      </c>
      <c r="AZ20" s="31">
        <f t="shared" si="6"/>
        <v>31</v>
      </c>
      <c r="BA20" s="32">
        <f>Table1313[[#This Row],[Days]]-Table1313[[#This Row],[Absent]]</f>
        <v>25</v>
      </c>
      <c r="BB20" s="33">
        <v>5700</v>
      </c>
      <c r="BC20" s="36">
        <f>Table1313[[#This Row],[Salary]]/Table1313[[#This Row],[Days]]</f>
        <v>183.87096774193549</v>
      </c>
      <c r="BD20" s="34">
        <f>Table1313[[#This Row],[Per Day Salary]]*Table1313[[#This Row],[Absent]]</f>
        <v>1103.2258064516129</v>
      </c>
      <c r="BE20" s="33">
        <f>Table1313[[#This Row],[Salary]]-Table1313[[#This Row],[Deduction ]]</f>
        <v>4596.7741935483873</v>
      </c>
    </row>
    <row r="21" spans="7:60" x14ac:dyDescent="0.35">
      <c r="G21" s="7">
        <v>14</v>
      </c>
      <c r="H21" s="27" t="s">
        <v>49</v>
      </c>
      <c r="I21" s="7">
        <v>1014</v>
      </c>
      <c r="J21" s="15">
        <f t="shared" si="5"/>
        <v>4</v>
      </c>
      <c r="K21" s="7" t="s">
        <v>36</v>
      </c>
      <c r="L21" s="7" t="s">
        <v>36</v>
      </c>
      <c r="M21" s="7" t="s">
        <v>36</v>
      </c>
      <c r="N21" s="7" t="s">
        <v>36</v>
      </c>
      <c r="O21" s="7" t="s">
        <v>36</v>
      </c>
      <c r="P21" s="7" t="s">
        <v>56</v>
      </c>
      <c r="Q21" s="7" t="s">
        <v>58</v>
      </c>
      <c r="R21" s="7" t="s">
        <v>56</v>
      </c>
      <c r="S21" s="7" t="s">
        <v>56</v>
      </c>
      <c r="T21" s="7" t="s">
        <v>57</v>
      </c>
      <c r="U21" s="7" t="s">
        <v>36</v>
      </c>
      <c r="V21" s="7" t="s">
        <v>36</v>
      </c>
      <c r="W21" s="7" t="s">
        <v>36</v>
      </c>
      <c r="X21" s="7" t="s">
        <v>58</v>
      </c>
      <c r="Y21" s="7" t="s">
        <v>56</v>
      </c>
      <c r="Z21" s="7" t="s">
        <v>57</v>
      </c>
      <c r="AA21" s="7" t="s">
        <v>36</v>
      </c>
      <c r="AB21" s="7" t="s">
        <v>36</v>
      </c>
      <c r="AC21" s="7" t="s">
        <v>36</v>
      </c>
      <c r="AD21" s="7" t="s">
        <v>36</v>
      </c>
      <c r="AE21" s="7" t="s">
        <v>58</v>
      </c>
      <c r="AF21" s="7" t="s">
        <v>36</v>
      </c>
      <c r="AG21" s="7" t="s">
        <v>36</v>
      </c>
      <c r="AH21" s="7" t="s">
        <v>36</v>
      </c>
      <c r="AI21" s="7" t="s">
        <v>36</v>
      </c>
      <c r="AJ21" s="7" t="s">
        <v>36</v>
      </c>
      <c r="AK21" s="7" t="s">
        <v>36</v>
      </c>
      <c r="AL21" s="7" t="s">
        <v>58</v>
      </c>
      <c r="AM21" s="7" t="s">
        <v>56</v>
      </c>
      <c r="AN21" s="7" t="s">
        <v>56</v>
      </c>
      <c r="AO21" s="7" t="s">
        <v>57</v>
      </c>
      <c r="AR21" s="7">
        <v>14</v>
      </c>
      <c r="AS21" s="7" t="s">
        <v>49</v>
      </c>
      <c r="AT21" s="29" t="s">
        <v>60</v>
      </c>
      <c r="AU21" s="7">
        <v>1014</v>
      </c>
      <c r="AV21" s="30">
        <f t="shared" si="2"/>
        <v>18</v>
      </c>
      <c r="AW21" s="30">
        <f t="shared" si="7"/>
        <v>6</v>
      </c>
      <c r="AX21" s="30">
        <f t="shared" si="3"/>
        <v>3</v>
      </c>
      <c r="AY21" s="31">
        <f t="shared" si="4"/>
        <v>4</v>
      </c>
      <c r="AZ21" s="31">
        <f t="shared" si="6"/>
        <v>31</v>
      </c>
      <c r="BA21" s="32">
        <f>Table1313[[#This Row],[Days]]-Table1313[[#This Row],[Absent]]</f>
        <v>25</v>
      </c>
      <c r="BB21" s="33">
        <v>5800</v>
      </c>
      <c r="BC21" s="36">
        <f>Table1313[[#This Row],[Salary]]/Table1313[[#This Row],[Days]]</f>
        <v>187.09677419354838</v>
      </c>
      <c r="BD21" s="34">
        <f>Table1313[[#This Row],[Per Day Salary]]*Table1313[[#This Row],[Absent]]</f>
        <v>1122.5806451612902</v>
      </c>
      <c r="BE21" s="33">
        <f>Table1313[[#This Row],[Salary]]-Table1313[[#This Row],[Deduction ]]</f>
        <v>4677.4193548387102</v>
      </c>
    </row>
    <row r="22" spans="7:60" x14ac:dyDescent="0.35">
      <c r="G22" s="7">
        <v>15</v>
      </c>
      <c r="H22" s="27" t="s">
        <v>50</v>
      </c>
      <c r="I22" s="7">
        <v>1015</v>
      </c>
      <c r="J22" s="15">
        <f t="shared" si="5"/>
        <v>4</v>
      </c>
      <c r="K22" s="7" t="s">
        <v>36</v>
      </c>
      <c r="L22" s="7" t="s">
        <v>36</v>
      </c>
      <c r="M22" s="7" t="s">
        <v>36</v>
      </c>
      <c r="N22" s="7" t="s">
        <v>36</v>
      </c>
      <c r="O22" s="7" t="s">
        <v>36</v>
      </c>
      <c r="P22" s="7" t="s">
        <v>56</v>
      </c>
      <c r="Q22" s="7" t="s">
        <v>58</v>
      </c>
      <c r="R22" s="7" t="s">
        <v>56</v>
      </c>
      <c r="S22" s="7" t="s">
        <v>56</v>
      </c>
      <c r="T22" s="7" t="s">
        <v>57</v>
      </c>
      <c r="U22" s="7" t="s">
        <v>36</v>
      </c>
      <c r="V22" s="7" t="s">
        <v>36</v>
      </c>
      <c r="W22" s="7" t="s">
        <v>36</v>
      </c>
      <c r="X22" s="7" t="s">
        <v>58</v>
      </c>
      <c r="Y22" s="7" t="s">
        <v>56</v>
      </c>
      <c r="Z22" s="7" t="s">
        <v>57</v>
      </c>
      <c r="AA22" s="7" t="s">
        <v>36</v>
      </c>
      <c r="AB22" s="7" t="s">
        <v>36</v>
      </c>
      <c r="AC22" s="7" t="s">
        <v>36</v>
      </c>
      <c r="AD22" s="7" t="s">
        <v>36</v>
      </c>
      <c r="AE22" s="7" t="s">
        <v>58</v>
      </c>
      <c r="AF22" s="7" t="s">
        <v>36</v>
      </c>
      <c r="AG22" s="7" t="s">
        <v>36</v>
      </c>
      <c r="AH22" s="7" t="s">
        <v>36</v>
      </c>
      <c r="AI22" s="7" t="s">
        <v>36</v>
      </c>
      <c r="AJ22" s="7" t="s">
        <v>36</v>
      </c>
      <c r="AK22" s="7" t="s">
        <v>36</v>
      </c>
      <c r="AL22" s="7" t="s">
        <v>58</v>
      </c>
      <c r="AM22" s="7" t="s">
        <v>56</v>
      </c>
      <c r="AN22" s="7" t="s">
        <v>56</v>
      </c>
      <c r="AO22" s="7" t="s">
        <v>57</v>
      </c>
      <c r="AR22" s="7">
        <v>15</v>
      </c>
      <c r="AS22" s="7" t="s">
        <v>50</v>
      </c>
      <c r="AT22" s="29" t="s">
        <v>60</v>
      </c>
      <c r="AU22" s="7">
        <v>1015</v>
      </c>
      <c r="AV22" s="30">
        <f t="shared" si="2"/>
        <v>18</v>
      </c>
      <c r="AW22" s="30">
        <f t="shared" si="7"/>
        <v>6</v>
      </c>
      <c r="AX22" s="30">
        <f t="shared" si="3"/>
        <v>3</v>
      </c>
      <c r="AY22" s="31">
        <f t="shared" si="4"/>
        <v>4</v>
      </c>
      <c r="AZ22" s="31">
        <f t="shared" si="6"/>
        <v>31</v>
      </c>
      <c r="BA22" s="32">
        <f>Table1313[[#This Row],[Days]]-Table1313[[#This Row],[Absent]]</f>
        <v>25</v>
      </c>
      <c r="BB22" s="33">
        <v>5900</v>
      </c>
      <c r="BC22" s="36">
        <f>Table1313[[#This Row],[Salary]]/Table1313[[#This Row],[Days]]</f>
        <v>190.32258064516128</v>
      </c>
      <c r="BD22" s="34">
        <f>Table1313[[#This Row],[Per Day Salary]]*Table1313[[#This Row],[Absent]]</f>
        <v>1141.9354838709678</v>
      </c>
      <c r="BE22" s="33">
        <f>Table1313[[#This Row],[Salary]]-Table1313[[#This Row],[Deduction ]]</f>
        <v>4758.0645161290322</v>
      </c>
    </row>
    <row r="23" spans="7:60" x14ac:dyDescent="0.35">
      <c r="G23" s="7">
        <v>16</v>
      </c>
      <c r="H23" s="27" t="s">
        <v>51</v>
      </c>
      <c r="I23" s="7">
        <v>1016</v>
      </c>
      <c r="J23" s="15">
        <f t="shared" si="5"/>
        <v>4</v>
      </c>
      <c r="K23" s="7" t="s">
        <v>36</v>
      </c>
      <c r="L23" s="7" t="s">
        <v>36</v>
      </c>
      <c r="M23" s="7" t="s">
        <v>36</v>
      </c>
      <c r="N23" s="7" t="s">
        <v>36</v>
      </c>
      <c r="O23" s="7" t="s">
        <v>36</v>
      </c>
      <c r="P23" s="7" t="s">
        <v>56</v>
      </c>
      <c r="Q23" s="7" t="s">
        <v>58</v>
      </c>
      <c r="R23" s="7" t="s">
        <v>56</v>
      </c>
      <c r="S23" s="7" t="s">
        <v>56</v>
      </c>
      <c r="T23" s="7" t="s">
        <v>57</v>
      </c>
      <c r="U23" s="7" t="s">
        <v>36</v>
      </c>
      <c r="V23" s="7" t="s">
        <v>36</v>
      </c>
      <c r="W23" s="7" t="s">
        <v>36</v>
      </c>
      <c r="X23" s="7" t="s">
        <v>58</v>
      </c>
      <c r="Y23" s="7" t="s">
        <v>56</v>
      </c>
      <c r="Z23" s="7" t="s">
        <v>57</v>
      </c>
      <c r="AA23" s="7" t="s">
        <v>36</v>
      </c>
      <c r="AB23" s="7" t="s">
        <v>36</v>
      </c>
      <c r="AC23" s="7" t="s">
        <v>36</v>
      </c>
      <c r="AD23" s="7" t="s">
        <v>36</v>
      </c>
      <c r="AE23" s="7" t="s">
        <v>58</v>
      </c>
      <c r="AF23" s="7" t="s">
        <v>36</v>
      </c>
      <c r="AG23" s="7" t="s">
        <v>36</v>
      </c>
      <c r="AH23" s="7" t="s">
        <v>36</v>
      </c>
      <c r="AI23" s="7" t="s">
        <v>36</v>
      </c>
      <c r="AJ23" s="7" t="s">
        <v>36</v>
      </c>
      <c r="AK23" s="7" t="s">
        <v>36</v>
      </c>
      <c r="AL23" s="7" t="s">
        <v>58</v>
      </c>
      <c r="AM23" s="7" t="s">
        <v>56</v>
      </c>
      <c r="AN23" s="7" t="s">
        <v>56</v>
      </c>
      <c r="AO23" s="7" t="s">
        <v>57</v>
      </c>
      <c r="AR23" s="7">
        <v>16</v>
      </c>
      <c r="AS23" s="7" t="s">
        <v>51</v>
      </c>
      <c r="AT23" s="29" t="s">
        <v>60</v>
      </c>
      <c r="AU23" s="7">
        <v>1016</v>
      </c>
      <c r="AV23" s="30">
        <f t="shared" si="2"/>
        <v>18</v>
      </c>
      <c r="AW23" s="30">
        <f t="shared" si="7"/>
        <v>6</v>
      </c>
      <c r="AX23" s="30">
        <f t="shared" si="3"/>
        <v>3</v>
      </c>
      <c r="AY23" s="31">
        <f t="shared" si="4"/>
        <v>4</v>
      </c>
      <c r="AZ23" s="31">
        <f t="shared" si="6"/>
        <v>31</v>
      </c>
      <c r="BA23" s="32">
        <f>Table1313[[#This Row],[Days]]-Table1313[[#This Row],[Absent]]</f>
        <v>25</v>
      </c>
      <c r="BB23" s="33">
        <v>6000</v>
      </c>
      <c r="BC23" s="36">
        <f>Table1313[[#This Row],[Salary]]/Table1313[[#This Row],[Days]]</f>
        <v>193.54838709677421</v>
      </c>
      <c r="BD23" s="34">
        <f>Table1313[[#This Row],[Per Day Salary]]*Table1313[[#This Row],[Absent]]</f>
        <v>1161.2903225806454</v>
      </c>
      <c r="BE23" s="33">
        <f>Table1313[[#This Row],[Salary]]-Table1313[[#This Row],[Deduction ]]</f>
        <v>4838.7096774193542</v>
      </c>
    </row>
    <row r="24" spans="7:60" x14ac:dyDescent="0.35">
      <c r="G24" s="7">
        <v>17</v>
      </c>
      <c r="H24" s="27" t="s">
        <v>52</v>
      </c>
      <c r="I24" s="7">
        <v>1017</v>
      </c>
      <c r="J24" s="15">
        <f t="shared" si="5"/>
        <v>4</v>
      </c>
      <c r="K24" s="7" t="s">
        <v>36</v>
      </c>
      <c r="L24" s="7" t="s">
        <v>36</v>
      </c>
      <c r="M24" s="7" t="s">
        <v>36</v>
      </c>
      <c r="N24" s="7" t="s">
        <v>36</v>
      </c>
      <c r="O24" s="7" t="s">
        <v>36</v>
      </c>
      <c r="P24" s="7" t="s">
        <v>56</v>
      </c>
      <c r="Q24" s="7" t="s">
        <v>58</v>
      </c>
      <c r="R24" s="7" t="s">
        <v>56</v>
      </c>
      <c r="S24" s="7" t="s">
        <v>56</v>
      </c>
      <c r="T24" s="7" t="s">
        <v>57</v>
      </c>
      <c r="U24" s="7" t="s">
        <v>36</v>
      </c>
      <c r="V24" s="7" t="s">
        <v>36</v>
      </c>
      <c r="W24" s="7" t="s">
        <v>36</v>
      </c>
      <c r="X24" s="7" t="s">
        <v>58</v>
      </c>
      <c r="Y24" s="7" t="s">
        <v>56</v>
      </c>
      <c r="Z24" s="7" t="s">
        <v>57</v>
      </c>
      <c r="AA24" s="7" t="s">
        <v>36</v>
      </c>
      <c r="AB24" s="7" t="s">
        <v>36</v>
      </c>
      <c r="AC24" s="7" t="s">
        <v>36</v>
      </c>
      <c r="AD24" s="7" t="s">
        <v>36</v>
      </c>
      <c r="AE24" s="7" t="s">
        <v>58</v>
      </c>
      <c r="AF24" s="7" t="s">
        <v>36</v>
      </c>
      <c r="AG24" s="7" t="s">
        <v>36</v>
      </c>
      <c r="AH24" s="7" t="s">
        <v>36</v>
      </c>
      <c r="AI24" s="7" t="s">
        <v>36</v>
      </c>
      <c r="AJ24" s="7" t="s">
        <v>36</v>
      </c>
      <c r="AK24" s="7" t="s">
        <v>36</v>
      </c>
      <c r="AL24" s="7" t="s">
        <v>58</v>
      </c>
      <c r="AM24" s="7" t="s">
        <v>56</v>
      </c>
      <c r="AN24" s="7" t="s">
        <v>56</v>
      </c>
      <c r="AO24" s="7" t="s">
        <v>57</v>
      </c>
      <c r="AR24" s="7">
        <v>17</v>
      </c>
      <c r="AS24" s="7" t="s">
        <v>52</v>
      </c>
      <c r="AT24" s="29" t="s">
        <v>60</v>
      </c>
      <c r="AU24" s="7">
        <v>1017</v>
      </c>
      <c r="AV24" s="30">
        <f t="shared" si="2"/>
        <v>18</v>
      </c>
      <c r="AW24" s="30">
        <f t="shared" si="7"/>
        <v>6</v>
      </c>
      <c r="AX24" s="30">
        <f t="shared" si="3"/>
        <v>3</v>
      </c>
      <c r="AY24" s="31">
        <f t="shared" si="4"/>
        <v>4</v>
      </c>
      <c r="AZ24" s="31">
        <f t="shared" si="6"/>
        <v>31</v>
      </c>
      <c r="BA24" s="1">
        <f>Table1313[[#This Row],[Days]]-Table1313[[#This Row],[Absent]]</f>
        <v>25</v>
      </c>
      <c r="BB24" s="33">
        <v>6100</v>
      </c>
      <c r="BC24" s="36">
        <f>Table1313[[#This Row],[Salary]]/Table1313[[#This Row],[Days]]</f>
        <v>196.7741935483871</v>
      </c>
      <c r="BD24" s="34">
        <f>Table1313[[#This Row],[Per Day Salary]]*Table1313[[#This Row],[Absent]]</f>
        <v>1180.6451612903227</v>
      </c>
      <c r="BE24" s="33">
        <f>Table1313[[#This Row],[Salary]]-Table1313[[#This Row],[Deduction ]]</f>
        <v>4919.3548387096771</v>
      </c>
    </row>
    <row r="25" spans="7:60" x14ac:dyDescent="0.35">
      <c r="G25" s="7">
        <v>18</v>
      </c>
      <c r="H25" s="27" t="s">
        <v>53</v>
      </c>
      <c r="I25" s="7">
        <v>1018</v>
      </c>
      <c r="J25" s="15">
        <f t="shared" si="5"/>
        <v>4</v>
      </c>
      <c r="K25" s="7" t="s">
        <v>36</v>
      </c>
      <c r="L25" s="7" t="s">
        <v>36</v>
      </c>
      <c r="M25" s="7" t="s">
        <v>36</v>
      </c>
      <c r="N25" s="7" t="s">
        <v>36</v>
      </c>
      <c r="O25" s="7" t="s">
        <v>36</v>
      </c>
      <c r="P25" s="7" t="s">
        <v>56</v>
      </c>
      <c r="Q25" s="7" t="s">
        <v>58</v>
      </c>
      <c r="R25" s="7" t="s">
        <v>56</v>
      </c>
      <c r="S25" s="7" t="s">
        <v>56</v>
      </c>
      <c r="T25" s="7" t="s">
        <v>57</v>
      </c>
      <c r="U25" s="7" t="s">
        <v>36</v>
      </c>
      <c r="V25" s="7" t="s">
        <v>36</v>
      </c>
      <c r="W25" s="7" t="s">
        <v>36</v>
      </c>
      <c r="X25" s="7" t="s">
        <v>58</v>
      </c>
      <c r="Y25" s="7" t="s">
        <v>56</v>
      </c>
      <c r="Z25" s="7" t="s">
        <v>57</v>
      </c>
      <c r="AA25" s="7" t="s">
        <v>36</v>
      </c>
      <c r="AB25" s="7" t="s">
        <v>36</v>
      </c>
      <c r="AC25" s="7" t="s">
        <v>36</v>
      </c>
      <c r="AD25" s="7" t="s">
        <v>36</v>
      </c>
      <c r="AE25" s="7" t="s">
        <v>58</v>
      </c>
      <c r="AF25" s="7" t="s">
        <v>36</v>
      </c>
      <c r="AG25" s="7" t="s">
        <v>36</v>
      </c>
      <c r="AH25" s="7" t="s">
        <v>36</v>
      </c>
      <c r="AI25" s="7" t="s">
        <v>36</v>
      </c>
      <c r="AJ25" s="7" t="s">
        <v>36</v>
      </c>
      <c r="AK25" s="7" t="s">
        <v>36</v>
      </c>
      <c r="AL25" s="7" t="s">
        <v>58</v>
      </c>
      <c r="AM25" s="7" t="s">
        <v>56</v>
      </c>
      <c r="AN25" s="7" t="s">
        <v>56</v>
      </c>
      <c r="AO25" s="7" t="s">
        <v>57</v>
      </c>
      <c r="AR25" s="7">
        <v>18</v>
      </c>
      <c r="AS25" s="7" t="s">
        <v>53</v>
      </c>
      <c r="AT25" s="29" t="s">
        <v>60</v>
      </c>
      <c r="AU25" s="7">
        <v>1018</v>
      </c>
      <c r="AV25" s="30">
        <f t="shared" si="2"/>
        <v>18</v>
      </c>
      <c r="AW25" s="30">
        <f t="shared" si="7"/>
        <v>6</v>
      </c>
      <c r="AX25" s="30">
        <f t="shared" si="3"/>
        <v>3</v>
      </c>
      <c r="AY25" s="31">
        <f t="shared" si="4"/>
        <v>4</v>
      </c>
      <c r="AZ25" s="31">
        <f t="shared" si="6"/>
        <v>31</v>
      </c>
      <c r="BA25" s="32">
        <f>Table1313[[#This Row],[Days]]-Table1313[[#This Row],[Absent]]</f>
        <v>25</v>
      </c>
      <c r="BB25" s="33">
        <v>6200</v>
      </c>
      <c r="BC25" s="36">
        <f>Table1313[[#This Row],[Salary]]/Table1313[[#This Row],[Days]]</f>
        <v>200</v>
      </c>
      <c r="BD25" s="34">
        <f>Table1313[[#This Row],[Per Day Salary]]*Table1313[[#This Row],[Absent]]</f>
        <v>1200</v>
      </c>
      <c r="BE25" s="33">
        <f>Table1313[[#This Row],[Salary]]-Table1313[[#This Row],[Deduction ]]</f>
        <v>5000</v>
      </c>
    </row>
    <row r="26" spans="7:60" x14ac:dyDescent="0.35">
      <c r="G26" s="7">
        <v>19</v>
      </c>
      <c r="H26" s="27" t="s">
        <v>54</v>
      </c>
      <c r="I26" s="7">
        <v>1019</v>
      </c>
      <c r="J26" s="15">
        <f t="shared" si="5"/>
        <v>4</v>
      </c>
      <c r="K26" s="7" t="s">
        <v>36</v>
      </c>
      <c r="L26" s="7" t="s">
        <v>36</v>
      </c>
      <c r="M26" s="7" t="s">
        <v>36</v>
      </c>
      <c r="N26" s="7" t="s">
        <v>36</v>
      </c>
      <c r="O26" s="7" t="s">
        <v>36</v>
      </c>
      <c r="P26" s="7" t="s">
        <v>56</v>
      </c>
      <c r="Q26" s="7" t="s">
        <v>58</v>
      </c>
      <c r="R26" s="7" t="s">
        <v>56</v>
      </c>
      <c r="S26" s="7" t="s">
        <v>56</v>
      </c>
      <c r="T26" s="7" t="s">
        <v>57</v>
      </c>
      <c r="U26" s="7" t="s">
        <v>36</v>
      </c>
      <c r="V26" s="7" t="s">
        <v>36</v>
      </c>
      <c r="W26" s="7" t="s">
        <v>36</v>
      </c>
      <c r="X26" s="7" t="s">
        <v>58</v>
      </c>
      <c r="Y26" s="7" t="s">
        <v>56</v>
      </c>
      <c r="Z26" s="7" t="s">
        <v>57</v>
      </c>
      <c r="AA26" s="7" t="s">
        <v>36</v>
      </c>
      <c r="AB26" s="7" t="s">
        <v>36</v>
      </c>
      <c r="AC26" s="7" t="s">
        <v>36</v>
      </c>
      <c r="AD26" s="7" t="s">
        <v>36</v>
      </c>
      <c r="AE26" s="7" t="s">
        <v>58</v>
      </c>
      <c r="AF26" s="7" t="s">
        <v>36</v>
      </c>
      <c r="AG26" s="7" t="s">
        <v>36</v>
      </c>
      <c r="AH26" s="7" t="s">
        <v>36</v>
      </c>
      <c r="AI26" s="7" t="s">
        <v>36</v>
      </c>
      <c r="AJ26" s="7" t="s">
        <v>36</v>
      </c>
      <c r="AK26" s="7" t="s">
        <v>36</v>
      </c>
      <c r="AL26" s="7" t="s">
        <v>58</v>
      </c>
      <c r="AM26" s="7" t="s">
        <v>56</v>
      </c>
      <c r="AN26" s="7" t="s">
        <v>56</v>
      </c>
      <c r="AO26" s="7" t="s">
        <v>57</v>
      </c>
      <c r="AR26" s="7">
        <v>19</v>
      </c>
      <c r="AS26" s="7" t="s">
        <v>54</v>
      </c>
      <c r="AT26" s="29" t="s">
        <v>60</v>
      </c>
      <c r="AU26" s="7">
        <v>1019</v>
      </c>
      <c r="AV26" s="30">
        <f t="shared" si="2"/>
        <v>18</v>
      </c>
      <c r="AW26" s="30">
        <f t="shared" si="7"/>
        <v>6</v>
      </c>
      <c r="AX26" s="30">
        <f t="shared" si="3"/>
        <v>3</v>
      </c>
      <c r="AY26" s="31">
        <f t="shared" si="4"/>
        <v>4</v>
      </c>
      <c r="AZ26" s="31">
        <f t="shared" si="6"/>
        <v>31</v>
      </c>
      <c r="BA26" s="1">
        <f>Table1313[[#This Row],[Days]]-Table1313[[#This Row],[Absent]]</f>
        <v>25</v>
      </c>
      <c r="BB26" s="33">
        <v>6300</v>
      </c>
      <c r="BC26" s="36">
        <f>Table1313[[#This Row],[Salary]]/Table1313[[#This Row],[Days]]</f>
        <v>203.2258064516129</v>
      </c>
      <c r="BD26" s="34">
        <f>Table1313[[#This Row],[Per Day Salary]]*Table1313[[#This Row],[Absent]]</f>
        <v>1219.3548387096773</v>
      </c>
      <c r="BE26" s="33">
        <f>Table1313[[#This Row],[Salary]]-Table1313[[#This Row],[Deduction ]]</f>
        <v>5080.6451612903229</v>
      </c>
    </row>
    <row r="27" spans="7:60" x14ac:dyDescent="0.35">
      <c r="G27" s="7">
        <v>20</v>
      </c>
      <c r="H27" s="27" t="s">
        <v>55</v>
      </c>
      <c r="I27" s="7">
        <v>1020</v>
      </c>
      <c r="J27" s="15">
        <f t="shared" si="5"/>
        <v>4</v>
      </c>
      <c r="K27" s="7" t="s">
        <v>36</v>
      </c>
      <c r="L27" s="7" t="s">
        <v>36</v>
      </c>
      <c r="M27" s="7" t="s">
        <v>36</v>
      </c>
      <c r="N27" s="7" t="s">
        <v>36</v>
      </c>
      <c r="O27" s="7" t="s">
        <v>36</v>
      </c>
      <c r="P27" s="7" t="s">
        <v>56</v>
      </c>
      <c r="Q27" s="7" t="s">
        <v>58</v>
      </c>
      <c r="R27" s="7" t="s">
        <v>56</v>
      </c>
      <c r="S27" s="7" t="s">
        <v>56</v>
      </c>
      <c r="T27" s="7" t="s">
        <v>57</v>
      </c>
      <c r="U27" s="7" t="s">
        <v>36</v>
      </c>
      <c r="V27" s="7" t="s">
        <v>36</v>
      </c>
      <c r="W27" s="7" t="s">
        <v>36</v>
      </c>
      <c r="X27" s="7" t="s">
        <v>58</v>
      </c>
      <c r="Y27" s="7" t="s">
        <v>56</v>
      </c>
      <c r="Z27" s="7" t="s">
        <v>57</v>
      </c>
      <c r="AA27" s="7" t="s">
        <v>36</v>
      </c>
      <c r="AB27" s="7" t="s">
        <v>36</v>
      </c>
      <c r="AC27" s="7" t="s">
        <v>36</v>
      </c>
      <c r="AD27" s="7" t="s">
        <v>36</v>
      </c>
      <c r="AE27" s="7" t="s">
        <v>58</v>
      </c>
      <c r="AF27" s="7" t="s">
        <v>36</v>
      </c>
      <c r="AG27" s="7" t="s">
        <v>36</v>
      </c>
      <c r="AH27" s="7" t="s">
        <v>36</v>
      </c>
      <c r="AI27" s="7" t="s">
        <v>36</v>
      </c>
      <c r="AJ27" s="7" t="s">
        <v>36</v>
      </c>
      <c r="AK27" s="7" t="s">
        <v>36</v>
      </c>
      <c r="AL27" s="7" t="s">
        <v>58</v>
      </c>
      <c r="AM27" s="7" t="s">
        <v>56</v>
      </c>
      <c r="AN27" s="7" t="s">
        <v>56</v>
      </c>
      <c r="AO27" s="7" t="s">
        <v>57</v>
      </c>
      <c r="AR27" s="7">
        <v>20</v>
      </c>
      <c r="AS27" s="7" t="s">
        <v>55</v>
      </c>
      <c r="AT27" s="29" t="s">
        <v>60</v>
      </c>
      <c r="AU27" s="7">
        <v>1020</v>
      </c>
      <c r="AV27" s="30">
        <f t="shared" si="2"/>
        <v>18</v>
      </c>
      <c r="AW27" s="30">
        <f t="shared" si="7"/>
        <v>6</v>
      </c>
      <c r="AX27" s="30">
        <f t="shared" si="3"/>
        <v>3</v>
      </c>
      <c r="AY27" s="31">
        <f t="shared" si="4"/>
        <v>4</v>
      </c>
      <c r="AZ27" s="31">
        <f t="shared" si="6"/>
        <v>31</v>
      </c>
      <c r="BA27" s="32">
        <f>Table1313[[#This Row],[Days]]-Table1313[[#This Row],[Absent]]</f>
        <v>25</v>
      </c>
      <c r="BB27" s="33">
        <v>6400</v>
      </c>
      <c r="BC27" s="36">
        <f>Table1313[[#This Row],[Salary]]/Table1313[[#This Row],[Days]]</f>
        <v>206.45161290322579</v>
      </c>
      <c r="BD27" s="34">
        <f>Table1313[[#This Row],[Per Day Salary]]*Table1313[[#This Row],[Absent]]</f>
        <v>1238.7096774193546</v>
      </c>
      <c r="BE27" s="33">
        <f>Table1313[[#This Row],[Salary]]-Table1313[[#This Row],[Deduction ]]</f>
        <v>5161.2903225806458</v>
      </c>
    </row>
    <row r="28" spans="7:60" x14ac:dyDescent="0.35">
      <c r="K28" s="7"/>
      <c r="L28" s="6"/>
      <c r="S28" s="6"/>
    </row>
  </sheetData>
  <mergeCells count="1">
    <mergeCell ref="G6:I6"/>
  </mergeCells>
  <phoneticPr fontId="2" type="noConversion"/>
  <conditionalFormatting sqref="F5">
    <cfRule type="containsText" dxfId="4" priority="4" operator="containsText" text="P">
      <formula>NOT(ISERROR(SEARCH("P",F5)))</formula>
    </cfRule>
  </conditionalFormatting>
  <conditionalFormatting sqref="K8:AO27 K28">
    <cfRule type="containsText" dxfId="3" priority="1" operator="containsText" text="L">
      <formula>NOT(ISERROR(SEARCH("L",K8)))</formula>
    </cfRule>
    <cfRule type="containsText" dxfId="2" priority="2" operator="containsText" text="A">
      <formula>NOT(ISERROR(SEARCH("A",K8)))</formula>
    </cfRule>
    <cfRule type="containsText" dxfId="1" priority="3" operator="containsText" text="P">
      <formula>NOT(ISERROR(SEARCH("P",K8)))</formula>
    </cfRule>
    <cfRule type="containsText" dxfId="0" priority="5" operator="containsText" text="WO">
      <formula>NOT(ISERROR(SEARCH("WO",K8)))</formula>
    </cfRule>
  </conditionalFormatting>
  <dataValidations count="2">
    <dataValidation type="list" allowBlank="1" showInputMessage="1" showErrorMessage="1" sqref="K8:K28 Z8:AD27 AM8:AO27 AK8:AK27 L8:P27 T8:W27" xr:uid="{72FB5EE8-077A-447C-9A52-E21E5C0D9985}">
      <formula1>"A,L,P"</formula1>
    </dataValidation>
    <dataValidation type="list" allowBlank="1" showInputMessage="1" showErrorMessage="1" sqref="X8:X27" xr:uid="{074639E9-3D83-4BBB-9535-14E15C36E27B}">
      <formula1>"WO"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73EDF2-9C1D-4C23-B565-427BAD6280C0}">
          <x14:formula1>
            <xm:f>Sheet1!$J$2:$J$13</xm:f>
          </x14:formula1>
          <xm:sqref>G5</xm:sqref>
        </x14:dataValidation>
        <x14:dataValidation type="list" allowBlank="1" showInputMessage="1" showErrorMessage="1" xr:uid="{6D78330B-2DBD-4CB3-93F5-7C6B274D0B27}">
          <x14:formula1>
            <xm:f>Sheet1!$E$2:$E$13</xm:f>
          </x14:formula1>
          <xm:sqref>I5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october</vt:lpstr>
      <vt:lpstr>september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kishan shukla</cp:lastModifiedBy>
  <cp:lastPrinted>2026-04-06T13:45:32Z</cp:lastPrinted>
  <dcterms:created xsi:type="dcterms:W3CDTF">2026-04-01T19:25:18Z</dcterms:created>
  <dcterms:modified xsi:type="dcterms:W3CDTF">2026-05-25T17:37:18Z</dcterms:modified>
</cp:coreProperties>
</file>